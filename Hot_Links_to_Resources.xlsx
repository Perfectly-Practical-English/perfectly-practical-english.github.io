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Focus_Book_Pages\"/>
    </mc:Choice>
  </mc:AlternateContent>
  <xr:revisionPtr revIDLastSave="0" documentId="13_ncr:1_{2CFA8440-993D-476F-AE02-652063C056AB}" xr6:coauthVersionLast="47" xr6:coauthVersionMax="47" xr10:uidLastSave="{00000000-0000-0000-0000-000000000000}"/>
  <bookViews>
    <workbookView xWindow="-110" yWindow="-110" windowWidth="19420" windowHeight="10300" xr2:uid="{EDFBF755-6DD5-47D2-A34A-3F53E117436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91" i="1" l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  <c r="B1" i="1"/>
</calcChain>
</file>

<file path=xl/sharedStrings.xml><?xml version="1.0" encoding="utf-8"?>
<sst xmlns="http://schemas.openxmlformats.org/spreadsheetml/2006/main" count="91" uniqueCount="91">
  <si>
    <t>U1 20 strange hobbies.docx</t>
  </si>
  <si>
    <t>U1 A3 Adverb Freq board game.docx</t>
  </si>
  <si>
    <t>U1 Coolest Kid in School Lyrics.docx</t>
  </si>
  <si>
    <t>U1 Coolest Kid in School.mp4</t>
  </si>
  <si>
    <t>U1 Daily routine speaking practice.docx</t>
  </si>
  <si>
    <t>U1 Funny role-play.docx</t>
  </si>
  <si>
    <t>U1 Hungry Boy Rap.mp4</t>
  </si>
  <si>
    <t>U1 M1U1 Activators.flipchart</t>
  </si>
  <si>
    <t>U1 M1U3 Activators.flipchart</t>
  </si>
  <si>
    <t>U1 My School Life.docx</t>
  </si>
  <si>
    <t>U1 U1 M1U2 Card Game.docx</t>
  </si>
  <si>
    <t>U1 how often survey.doc</t>
  </si>
  <si>
    <t>U2 A3 Board Game What's in the fridge.docx</t>
  </si>
  <si>
    <t>U2 Breakfast food puzzle.docx</t>
  </si>
  <si>
    <t>U2 Cooking Procedures.jpg</t>
  </si>
  <si>
    <t>U2 Cool Treats and Sweets.pptx</t>
  </si>
  <si>
    <t>U2 Eating Healthy.pptx</t>
  </si>
  <si>
    <t>U2 Food reading comprehension.docx</t>
  </si>
  <si>
    <t>U2 Funny Food Roleplay.docx</t>
  </si>
  <si>
    <t>U2 Hungry Boy Rap.docx</t>
  </si>
  <si>
    <t>U2 Kids Cook.pptx</t>
  </si>
  <si>
    <t>U2 M1U12 Speaking Practice .docx</t>
  </si>
  <si>
    <t>U2 M1U2 Activators.flipchart</t>
  </si>
  <si>
    <t>U2 M1U2 Card game.flipchart</t>
  </si>
  <si>
    <t>U2 M1U2 Grammar Pair Work Speaking Practice.docx</t>
  </si>
  <si>
    <t>U2 M1U2 Roleplay Project.docx</t>
  </si>
  <si>
    <t>U2 Matching game.docx</t>
  </si>
  <si>
    <t>U2 Some any cartoon.docx</t>
  </si>
  <si>
    <t>U2 Unit 2 Vocabulary (All words).docx</t>
  </si>
  <si>
    <t>U2 Unit 2 Vocabulary.docx</t>
  </si>
  <si>
    <t>U2 Whats on my plate.pptx</t>
  </si>
  <si>
    <t>U2 Witches Potion.docx</t>
  </si>
  <si>
    <t>U2 a an some any.docx</t>
  </si>
  <si>
    <t>U2 food xword.docx</t>
  </si>
  <si>
    <t>U2 some any wsheet.docx</t>
  </si>
  <si>
    <t>U3 Jobs Xword.docx</t>
  </si>
  <si>
    <t>U3 Jobs funny skits.docx</t>
  </si>
  <si>
    <t>U3 Unit 3 Online Games.docx</t>
  </si>
  <si>
    <t>U3 Unit 3 Vocabulary.docx</t>
  </si>
  <si>
    <t>U3 Whats your dream job.pptx</t>
  </si>
  <si>
    <t>U4 Guess Who.flipchart</t>
  </si>
  <si>
    <t>U4 Guess who.docx</t>
  </si>
  <si>
    <t>U4 M1U4 Activators.flipchart</t>
  </si>
  <si>
    <t>U4 Personality vocab.docx</t>
  </si>
  <si>
    <t>U4 Picture Day Perfection.pptx</t>
  </si>
  <si>
    <t>U4 Unit 4 role play.docx</t>
  </si>
  <si>
    <t>U4 bluea.pdf</t>
  </si>
  <si>
    <t>U4 blueb.pdf</t>
  </si>
  <si>
    <t>U4 bluec.pdf</t>
  </si>
  <si>
    <t>U4 greena.pdf</t>
  </si>
  <si>
    <t>U4 greenb.pdf</t>
  </si>
  <si>
    <t>U4 greenc.pdf</t>
  </si>
  <si>
    <t>U4 reda.pdf</t>
  </si>
  <si>
    <t>U4 redb.pdf</t>
  </si>
  <si>
    <t>U4 redc.pdf</t>
  </si>
  <si>
    <t>U5 M1U5 Activators.flipchart</t>
  </si>
  <si>
    <t>U5 Parent school life interview sheet.docx</t>
  </si>
  <si>
    <t>U5 Scientists.pptx</t>
  </si>
  <si>
    <t>U5 What You Should Be.mp4</t>
  </si>
  <si>
    <t>U5 funny_school_roleplay_should_must.pdf</t>
  </si>
  <si>
    <t>U6 Find someone who.pdf</t>
  </si>
  <si>
    <t>U6 Focus1_2E_Unit6_Lesson2_Video_26_GA.mp4</t>
  </si>
  <si>
    <t>U6 M1U6 Activators.flipchart</t>
  </si>
  <si>
    <t>U6 Resource_35 past simple.pdf</t>
  </si>
  <si>
    <t>U7 Board game.docx</t>
  </si>
  <si>
    <t>U7 Focus1Unit7-Resource_44directions.pdf</t>
  </si>
  <si>
    <t>U7 Focus1Unit7Resource_42 have you ever.pdf</t>
  </si>
  <si>
    <t>U7 International Air Travel.pptx</t>
  </si>
  <si>
    <t>U7 M1U7 Activators.flipchart</t>
  </si>
  <si>
    <t>U7 Perfect Vacation Quiz.pptx</t>
  </si>
  <si>
    <t>U7 What City Should You Live In Quiz.pptx</t>
  </si>
  <si>
    <t>U8 A Planet like Ours.pptx</t>
  </si>
  <si>
    <t>U8 Choose to Reuse.pptx</t>
  </si>
  <si>
    <t>U8 Cleaning Up the Earth.pptx</t>
  </si>
  <si>
    <t>U8 Climate change reader.docx</t>
  </si>
  <si>
    <t>U8 Environment brainstorm list.docx</t>
  </si>
  <si>
    <t>U8 Environment verbs.docx</t>
  </si>
  <si>
    <t>U8 Every Second.pptx</t>
  </si>
  <si>
    <t>U8 Funny fortunes hard.docx</t>
  </si>
  <si>
    <t>U8 Funny fortunes simple.docx</t>
  </si>
  <si>
    <t>U8 Garbage cartoon.flipchart</t>
  </si>
  <si>
    <t>U8 Global Warming.pptx</t>
  </si>
  <si>
    <t>U8 If we were gone.pptx</t>
  </si>
  <si>
    <t>U8 Love Earth.pptx</t>
  </si>
  <si>
    <t>U8 M1U8 Activators.flipchart</t>
  </si>
  <si>
    <t>U8 My 7 natural world wonders.pptx</t>
  </si>
  <si>
    <t>U8 Our Incredible Planet.pptx</t>
  </si>
  <si>
    <t>U8 Upcycling project.pptx</t>
  </si>
  <si>
    <t>U8 boardgame_environment.pdf</t>
  </si>
  <si>
    <t>U8 reading-great_pacific_garbage_patch-20220902.pdf</t>
  </si>
  <si>
    <t>U8 water pollution reader.docx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</si>
</sst>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sz val="11"/>
      <color theme="1"/>
      <name val="Aptos"/>
      <family val="2"/>
    </font>
    <font>
      <u/>
      <sz val="11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 applyAlignment="1" applyProtection="1">
      <alignment vertical="center"/>
    </xf>
    <xf numFmtId="0" fontId="2" fillId="0" borderId="0" xfId="1" applyAlignment="1" applyProtection="1">
      <alignment horizontal="left" vertical="top" wrapText="1"/>
    </xf>
    <xf numFmtId="0" fontId="0" fillId="0" borderId="0" xfId="0" applyProtection="1"/>
    <xf numFmtId="0" fontId="0" fillId="0" borderId="0" xfId="0" applyAlignment="1" applyProtection="1">
      <alignment horizontal="left" vertical="top" wrapText="1"/>
    </xf>
    <xf numFmtId="0" fontId="1" fillId="2" borderId="0" xfId="0" applyFont="1" applyFill="1" applyAlignment="1" applyProtection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F75E3B-3B94-406C-9F87-2DEDAD21E931}">
  <dimension ref="A1:B92"/>
  <sheetViews>
    <sheetView tabSelected="1" workbookViewId="0">
      <selection activeCell="G9" sqref="G9"/>
    </sheetView>
  </sheetViews>
  <sheetFormatPr defaultRowHeight="17" customHeight="1" x14ac:dyDescent="0.35"/>
  <cols>
    <col min="1" max="1" width="49.36328125" style="3" bestFit="1" customWidth="1"/>
    <col min="2" max="2" width="8.6328125" style="3" bestFit="1" customWidth="1"/>
    <col min="3" max="16384" width="8.7265625" style="3"/>
  </cols>
  <sheetData>
    <row r="1" spans="1:2" ht="17" customHeight="1" x14ac:dyDescent="0.35">
      <c r="A1" s="1" t="s">
        <v>0</v>
      </c>
      <c r="B1" s="2" t="str">
        <f>HYPERLINK("C:\Users\User\Documents\Focus_Book_Pages\All_Focus_Resource_Links\U1 20 strange hobbies.docx", "Open File")</f>
        <v>Open File</v>
      </c>
    </row>
    <row r="2" spans="1:2" ht="17" customHeight="1" x14ac:dyDescent="0.35">
      <c r="A2" s="1" t="s">
        <v>1</v>
      </c>
      <c r="B2" s="4" t="str">
        <f>HYPERLINK("C:\Users\User\Documents\Focus_Book_Pages\All_Focus_Resource_Links\U1 A3 Adverb Freq board game.docx", "Open File")</f>
        <v>Open File</v>
      </c>
    </row>
    <row r="3" spans="1:2" ht="17" customHeight="1" x14ac:dyDescent="0.35">
      <c r="A3" s="1" t="s">
        <v>2</v>
      </c>
      <c r="B3" s="4" t="str">
        <f>HYPERLINK("C:\Users\User\Documents\Focus_Book_Pages\All_Focus_Resource_Links\U1 Coolest Kid in School Lyrics.docx", "Open File")</f>
        <v>Open File</v>
      </c>
    </row>
    <row r="4" spans="1:2" ht="17" customHeight="1" x14ac:dyDescent="0.35">
      <c r="A4" s="1" t="s">
        <v>3</v>
      </c>
      <c r="B4" s="4" t="str">
        <f>HYPERLINK("C:\Users\User\Documents\Focus_Book_Pages\All_Focus_Resource_Links\U1 Coolest Kid in School.mp4", "Open File")</f>
        <v>Open File</v>
      </c>
    </row>
    <row r="5" spans="1:2" ht="17" customHeight="1" x14ac:dyDescent="0.35">
      <c r="A5" s="1" t="s">
        <v>4</v>
      </c>
      <c r="B5" s="4" t="str">
        <f>HYPERLINK("C:\Users\User\Documents\Focus_Book_Pages\All_Focus_Resource_Links\U1 Daily routine speaking practice.docx", "Open File")</f>
        <v>Open File</v>
      </c>
    </row>
    <row r="6" spans="1:2" ht="17" customHeight="1" x14ac:dyDescent="0.35">
      <c r="A6" s="1" t="s">
        <v>5</v>
      </c>
      <c r="B6" s="4" t="str">
        <f>HYPERLINK("C:\Users\User\Documents\Focus_Book_Pages\All_Focus_Resource_Links\U1 Funny role-play.docx", "Open File")</f>
        <v>Open File</v>
      </c>
    </row>
    <row r="7" spans="1:2" ht="17" customHeight="1" x14ac:dyDescent="0.35">
      <c r="A7" s="1" t="s">
        <v>6</v>
      </c>
      <c r="B7" s="4" t="str">
        <f>HYPERLINK("C:\Users\User\Documents\Focus_Book_Pages\All_Focus_Resource_Links\U1 Hungry Boy Rap.mp4", "Open File")</f>
        <v>Open File</v>
      </c>
    </row>
    <row r="8" spans="1:2" ht="17" customHeight="1" x14ac:dyDescent="0.35">
      <c r="A8" s="1" t="s">
        <v>7</v>
      </c>
      <c r="B8" s="4" t="str">
        <f>HYPERLINK("C:\Users\User\Documents\Focus_Book_Pages\All_Focus_Resource_Links\U1 M1U1 Activators.flipchart", "Open File")</f>
        <v>Open File</v>
      </c>
    </row>
    <row r="9" spans="1:2" ht="17" customHeight="1" x14ac:dyDescent="0.35">
      <c r="A9" s="1" t="s">
        <v>8</v>
      </c>
      <c r="B9" s="4" t="str">
        <f>HYPERLINK("C:\Users\User\Documents\Focus_Book_Pages\All_Focus_Resource_Links\U1 M1U3 Activators.flipchart", "Open File")</f>
        <v>Open File</v>
      </c>
    </row>
    <row r="10" spans="1:2" ht="17" customHeight="1" x14ac:dyDescent="0.35">
      <c r="A10" s="1" t="s">
        <v>9</v>
      </c>
      <c r="B10" s="4" t="str">
        <f>HYPERLINK("C:\Users\User\Documents\Focus_Book_Pages\All_Focus_Resource_Links\U1 My School Life.docx", "Open File")</f>
        <v>Open File</v>
      </c>
    </row>
    <row r="11" spans="1:2" ht="17" customHeight="1" x14ac:dyDescent="0.35">
      <c r="A11" s="1" t="s">
        <v>10</v>
      </c>
      <c r="B11" s="4" t="str">
        <f>HYPERLINK("C:\Users\User\Documents\Focus_Book_Pages\All_Focus_Resource_Links\U1 U1 M1U2 Card Game.docx", "Open File")</f>
        <v>Open File</v>
      </c>
    </row>
    <row r="12" spans="1:2" ht="17" customHeight="1" x14ac:dyDescent="0.35">
      <c r="A12" s="1" t="s">
        <v>11</v>
      </c>
      <c r="B12" s="4" t="str">
        <f>HYPERLINK("C:\Users\User\Documents\Focus_Book_Pages\All_Focus_Resource_Links\U1 how often survey.doc", "Open File")</f>
        <v>Open File</v>
      </c>
    </row>
    <row r="13" spans="1:2" ht="17" customHeight="1" x14ac:dyDescent="0.35">
      <c r="A13" s="1" t="s">
        <v>12</v>
      </c>
      <c r="B13" s="4" t="str">
        <f>HYPERLINK("C:\Users\User\Documents\Focus_Book_Pages\All_Focus_Resource_Links\U2 A3 Board Game What's in the fridge.docx", "Open File")</f>
        <v>Open File</v>
      </c>
    </row>
    <row r="14" spans="1:2" ht="17" customHeight="1" x14ac:dyDescent="0.35">
      <c r="A14" s="1" t="s">
        <v>13</v>
      </c>
      <c r="B14" s="4" t="str">
        <f>HYPERLINK("C:\Users\User\Documents\Focus_Book_Pages\All_Focus_Resource_Links\U2 Breakfast food puzzle.docx", "Open File")</f>
        <v>Open File</v>
      </c>
    </row>
    <row r="15" spans="1:2" ht="17" customHeight="1" x14ac:dyDescent="0.35">
      <c r="A15" s="1" t="s">
        <v>14</v>
      </c>
      <c r="B15" s="4" t="str">
        <f>HYPERLINK("C:\Users\User\Documents\Focus_Book_Pages\All_Focus_Resource_Links\U2 Cooking Procedures.jpg", "Open File")</f>
        <v>Open File</v>
      </c>
    </row>
    <row r="16" spans="1:2" ht="17" customHeight="1" x14ac:dyDescent="0.35">
      <c r="A16" s="1" t="s">
        <v>15</v>
      </c>
      <c r="B16" s="4" t="str">
        <f>HYPERLINK("C:\Users\User\Documents\Focus_Book_Pages\All_Focus_Resource_Links\U2 Cool Treats and Sweets.pptx", "Open File")</f>
        <v>Open File</v>
      </c>
    </row>
    <row r="17" spans="1:2" ht="17" customHeight="1" x14ac:dyDescent="0.35">
      <c r="A17" s="1" t="s">
        <v>16</v>
      </c>
      <c r="B17" s="4" t="str">
        <f>HYPERLINK("C:\Users\User\Documents\Focus_Book_Pages\All_Focus_Resource_Links\U2 Eating Healthy.pptx", "Open File")</f>
        <v>Open File</v>
      </c>
    </row>
    <row r="18" spans="1:2" ht="17" customHeight="1" x14ac:dyDescent="0.35">
      <c r="A18" s="1" t="s">
        <v>17</v>
      </c>
      <c r="B18" s="4" t="str">
        <f>HYPERLINK("C:\Users\User\Documents\Focus_Book_Pages\All_Focus_Resource_Links\U2 Food reading comprehension.docx", "Open File")</f>
        <v>Open File</v>
      </c>
    </row>
    <row r="19" spans="1:2" ht="17" customHeight="1" x14ac:dyDescent="0.35">
      <c r="A19" s="1" t="s">
        <v>18</v>
      </c>
      <c r="B19" s="4" t="str">
        <f>HYPERLINK("C:\Users\User\Documents\Focus_Book_Pages\All_Focus_Resource_Links\U2 Funny Food Roleplay.docx", "Open File")</f>
        <v>Open File</v>
      </c>
    </row>
    <row r="20" spans="1:2" ht="17" customHeight="1" x14ac:dyDescent="0.35">
      <c r="A20" s="1" t="s">
        <v>19</v>
      </c>
      <c r="B20" s="4" t="str">
        <f>HYPERLINK("C:\Users\User\Documents\Focus_Book_Pages\All_Focus_Resource_Links\U2 Hungry Boy Rap.docx", "Open File")</f>
        <v>Open File</v>
      </c>
    </row>
    <row r="21" spans="1:2" ht="17" customHeight="1" x14ac:dyDescent="0.35">
      <c r="A21" s="1" t="s">
        <v>20</v>
      </c>
      <c r="B21" s="4" t="str">
        <f>HYPERLINK("C:\Users\User\Documents\Focus_Book_Pages\All_Focus_Resource_Links\U2 Kids Cook.pptx", "Open File")</f>
        <v>Open File</v>
      </c>
    </row>
    <row r="22" spans="1:2" ht="17" customHeight="1" x14ac:dyDescent="0.35">
      <c r="A22" s="1" t="s">
        <v>21</v>
      </c>
      <c r="B22" s="4" t="str">
        <f>HYPERLINK("C:\Users\User\Documents\Focus_Book_Pages\All_Focus_Resource_Links\U2 M1U12 Speaking Practice .docx", "Open File")</f>
        <v>Open File</v>
      </c>
    </row>
    <row r="23" spans="1:2" ht="17" customHeight="1" x14ac:dyDescent="0.35">
      <c r="A23" s="1" t="s">
        <v>22</v>
      </c>
      <c r="B23" s="4" t="str">
        <f>HYPERLINK("C:\Users\User\Documents\Focus_Book_Pages\All_Focus_Resource_Links\U2 M1U2 Activators.flipchart", "Open File")</f>
        <v>Open File</v>
      </c>
    </row>
    <row r="24" spans="1:2" ht="17" customHeight="1" x14ac:dyDescent="0.35">
      <c r="A24" s="1" t="s">
        <v>23</v>
      </c>
      <c r="B24" s="4" t="str">
        <f>HYPERLINK("C:\Users\User\Documents\Focus_Book_Pages\All_Focus_Resource_Links\U2 M1U2 Card game.flipchart", "Open File")</f>
        <v>Open File</v>
      </c>
    </row>
    <row r="25" spans="1:2" ht="17" customHeight="1" x14ac:dyDescent="0.35">
      <c r="A25" s="1" t="s">
        <v>24</v>
      </c>
      <c r="B25" s="4" t="str">
        <f>HYPERLINK("C:\Users\User\Documents\Focus_Book_Pages\All_Focus_Resource_Links\U2 M1U2 Grammar Pair Work Speaking Practice.docx", "Open File")</f>
        <v>Open File</v>
      </c>
    </row>
    <row r="26" spans="1:2" ht="17" customHeight="1" x14ac:dyDescent="0.35">
      <c r="A26" s="1" t="s">
        <v>25</v>
      </c>
      <c r="B26" s="4" t="str">
        <f>HYPERLINK("C:\Users\User\Documents\Focus_Book_Pages\All_Focus_Resource_Links\U2 M1U2 Roleplay Project.docx", "Open File")</f>
        <v>Open File</v>
      </c>
    </row>
    <row r="27" spans="1:2" ht="17" customHeight="1" x14ac:dyDescent="0.35">
      <c r="A27" s="1" t="s">
        <v>26</v>
      </c>
      <c r="B27" s="4" t="str">
        <f>HYPERLINK("C:\Users\User\Documents\Focus_Book_Pages\All_Focus_Resource_Links\U2 Matching game.docx", "Open File")</f>
        <v>Open File</v>
      </c>
    </row>
    <row r="28" spans="1:2" ht="17" customHeight="1" x14ac:dyDescent="0.35">
      <c r="A28" s="1" t="s">
        <v>27</v>
      </c>
      <c r="B28" s="4" t="str">
        <f>HYPERLINK("C:\Users\User\Documents\Focus_Book_Pages\All_Focus_Resource_Links\U2 Some any cartoon.docx", "Open File")</f>
        <v>Open File</v>
      </c>
    </row>
    <row r="29" spans="1:2" ht="17" customHeight="1" x14ac:dyDescent="0.35">
      <c r="A29" s="1" t="s">
        <v>28</v>
      </c>
      <c r="B29" s="4" t="str">
        <f>HYPERLINK("C:\Users\User\Documents\Focus_Book_Pages\All_Focus_Resource_Links\U2 Unit 2 Vocabulary (All words).docx", "Open File")</f>
        <v>Open File</v>
      </c>
    </row>
    <row r="30" spans="1:2" ht="17" customHeight="1" x14ac:dyDescent="0.35">
      <c r="A30" s="1" t="s">
        <v>29</v>
      </c>
      <c r="B30" s="4" t="str">
        <f>HYPERLINK("C:\Users\User\Documents\Focus_Book_Pages\All_Focus_Resource_Links\U2 Unit 2 Vocabulary.docx", "Open File")</f>
        <v>Open File</v>
      </c>
    </row>
    <row r="31" spans="1:2" ht="17" customHeight="1" x14ac:dyDescent="0.35">
      <c r="A31" s="1" t="s">
        <v>30</v>
      </c>
      <c r="B31" s="4" t="str">
        <f>HYPERLINK("C:\Users\User\Documents\Focus_Book_Pages\All_Focus_Resource_Links\U2 Whats on my plate.pptx", "Open File")</f>
        <v>Open File</v>
      </c>
    </row>
    <row r="32" spans="1:2" ht="17" customHeight="1" x14ac:dyDescent="0.35">
      <c r="A32" s="1" t="s">
        <v>31</v>
      </c>
      <c r="B32" s="4" t="str">
        <f>HYPERLINK("C:\Users\User\Documents\Focus_Book_Pages\All_Focus_Resource_Links\U2 Witches Potion.docx", "Open File")</f>
        <v>Open File</v>
      </c>
    </row>
    <row r="33" spans="1:2" ht="17" customHeight="1" x14ac:dyDescent="0.35">
      <c r="A33" s="1" t="s">
        <v>32</v>
      </c>
      <c r="B33" s="4" t="str">
        <f>HYPERLINK("C:\Users\User\Documents\Focus_Book_Pages\All_Focus_Resource_Links\U2 a an some any.docx", "Open File")</f>
        <v>Open File</v>
      </c>
    </row>
    <row r="34" spans="1:2" ht="17" customHeight="1" x14ac:dyDescent="0.35">
      <c r="A34" s="1" t="s">
        <v>33</v>
      </c>
      <c r="B34" s="4" t="str">
        <f>HYPERLINK("C:\Users\User\Documents\Focus_Book_Pages\All_Focus_Resource_Links\U2 food xword.docx", "Open File")</f>
        <v>Open File</v>
      </c>
    </row>
    <row r="35" spans="1:2" ht="17" customHeight="1" x14ac:dyDescent="0.35">
      <c r="A35" s="1" t="s">
        <v>34</v>
      </c>
      <c r="B35" s="4" t="str">
        <f>HYPERLINK("C:\Users\User\Documents\Focus_Book_Pages\All_Focus_Resource_Links\U2 some any wsheet.docx", "Open File")</f>
        <v>Open File</v>
      </c>
    </row>
    <row r="36" spans="1:2" ht="17" customHeight="1" x14ac:dyDescent="0.35">
      <c r="A36" s="1" t="s">
        <v>35</v>
      </c>
      <c r="B36" s="4" t="str">
        <f>HYPERLINK("C:\Users\User\Documents\Focus_Book_Pages\All_Focus_Resource_Links\U3 Jobs Xword.docx", "Open File")</f>
        <v>Open File</v>
      </c>
    </row>
    <row r="37" spans="1:2" ht="17" customHeight="1" x14ac:dyDescent="0.35">
      <c r="A37" s="1" t="s">
        <v>36</v>
      </c>
      <c r="B37" s="4" t="str">
        <f>HYPERLINK("C:\Users\User\Documents\Focus_Book_Pages\All_Focus_Resource_Links\U3 Jobs funny skits.docx", "Open File")</f>
        <v>Open File</v>
      </c>
    </row>
    <row r="38" spans="1:2" ht="17" customHeight="1" x14ac:dyDescent="0.35">
      <c r="A38" s="1" t="s">
        <v>37</v>
      </c>
      <c r="B38" s="4" t="str">
        <f>HYPERLINK("C:\Users\User\Documents\Focus_Book_Pages\All_Focus_Resource_Links\U3 Unit 3 Online Games.docx", "Open File")</f>
        <v>Open File</v>
      </c>
    </row>
    <row r="39" spans="1:2" ht="17" customHeight="1" x14ac:dyDescent="0.35">
      <c r="A39" s="1" t="s">
        <v>38</v>
      </c>
      <c r="B39" s="4" t="str">
        <f>HYPERLINK("C:\Users\User\Documents\Focus_Book_Pages\All_Focus_Resource_Links\U3 Unit 3 Vocabulary.docx", "Open File")</f>
        <v>Open File</v>
      </c>
    </row>
    <row r="40" spans="1:2" ht="17" customHeight="1" x14ac:dyDescent="0.35">
      <c r="A40" s="1" t="s">
        <v>39</v>
      </c>
      <c r="B40" s="4" t="str">
        <f>HYPERLINK("C:\Users\User\Documents\Focus_Book_Pages\All_Focus_Resource_Links\U3 Whats your dream job.pptx", "Open File")</f>
        <v>Open File</v>
      </c>
    </row>
    <row r="41" spans="1:2" ht="17" customHeight="1" x14ac:dyDescent="0.35">
      <c r="A41" s="1" t="s">
        <v>40</v>
      </c>
      <c r="B41" s="4" t="str">
        <f>HYPERLINK("C:\Users\User\Documents\Focus_Book_Pages\All_Focus_Resource_Links\U4 Guess Who.flipchart", "Open File")</f>
        <v>Open File</v>
      </c>
    </row>
    <row r="42" spans="1:2" ht="17" customHeight="1" x14ac:dyDescent="0.35">
      <c r="A42" s="1" t="s">
        <v>41</v>
      </c>
      <c r="B42" s="4" t="str">
        <f>HYPERLINK("C:\Users\User\Documents\Focus_Book_Pages\All_Focus_Resource_Links\U4 Guess who.docx", "Open File")</f>
        <v>Open File</v>
      </c>
    </row>
    <row r="43" spans="1:2" ht="17" customHeight="1" x14ac:dyDescent="0.35">
      <c r="A43" s="1" t="s">
        <v>42</v>
      </c>
      <c r="B43" s="4" t="str">
        <f>HYPERLINK("C:\Users\User\Documents\Focus_Book_Pages\All_Focus_Resource_Links\U4 M1U4 Activators.flipchart", "Open File")</f>
        <v>Open File</v>
      </c>
    </row>
    <row r="44" spans="1:2" ht="17" customHeight="1" x14ac:dyDescent="0.35">
      <c r="A44" s="1" t="s">
        <v>43</v>
      </c>
      <c r="B44" s="4" t="str">
        <f>HYPERLINK("C:\Users\User\Documents\Focus_Book_Pages\All_Focus_Resource_Links\U4 Personality vocab.docx", "Open File")</f>
        <v>Open File</v>
      </c>
    </row>
    <row r="45" spans="1:2" ht="17" customHeight="1" x14ac:dyDescent="0.35">
      <c r="A45" s="1" t="s">
        <v>44</v>
      </c>
      <c r="B45" s="4" t="str">
        <f>HYPERLINK("C:\Users\User\Documents\Focus_Book_Pages\All_Focus_Resource_Links\U4 Picture Day Perfection.pptx", "Open File")</f>
        <v>Open File</v>
      </c>
    </row>
    <row r="46" spans="1:2" ht="17" customHeight="1" x14ac:dyDescent="0.35">
      <c r="A46" s="1" t="s">
        <v>45</v>
      </c>
      <c r="B46" s="4" t="str">
        <f>HYPERLINK("C:\Users\User\Documents\Focus_Book_Pages\All_Focus_Resource_Links\U4 Unit 4 role play.docx", "Open File")</f>
        <v>Open File</v>
      </c>
    </row>
    <row r="47" spans="1:2" ht="17" customHeight="1" x14ac:dyDescent="0.35">
      <c r="A47" s="5" t="s">
        <v>46</v>
      </c>
      <c r="B47" s="4" t="str">
        <f>HYPERLINK("C:\Users\User\Documents\Focus_Book_Pages\All_Focus_Resource_Links\U4 bluea.pdf", "Open File")</f>
        <v>Open File</v>
      </c>
    </row>
    <row r="48" spans="1:2" ht="17" customHeight="1" x14ac:dyDescent="0.35">
      <c r="A48" s="5" t="s">
        <v>47</v>
      </c>
      <c r="B48" s="4" t="str">
        <f>HYPERLINK("C:\Users\User\Documents\Focus_Book_Pages\All_Focus_Resource_Links\U4 blueb.pdf", "Open File")</f>
        <v>Open File</v>
      </c>
    </row>
    <row r="49" spans="1:2" ht="17" customHeight="1" x14ac:dyDescent="0.35">
      <c r="A49" s="5" t="s">
        <v>48</v>
      </c>
      <c r="B49" s="4" t="str">
        <f>HYPERLINK("C:\Users\User\Documents\Focus_Book_Pages\All_Focus_Resource_Links\U4 bluec.pdf", "Open File")</f>
        <v>Open File</v>
      </c>
    </row>
    <row r="50" spans="1:2" ht="17" customHeight="1" x14ac:dyDescent="0.35">
      <c r="A50" s="5" t="s">
        <v>49</v>
      </c>
      <c r="B50" s="4" t="str">
        <f>HYPERLINK("C:\Users\User\Documents\Focus_Book_Pages\All_Focus_Resource_Links\U4 greena.pdf", "Open File")</f>
        <v>Open File</v>
      </c>
    </row>
    <row r="51" spans="1:2" ht="17" customHeight="1" x14ac:dyDescent="0.35">
      <c r="A51" s="5" t="s">
        <v>50</v>
      </c>
      <c r="B51" s="4" t="str">
        <f>HYPERLINK("C:\Users\User\Documents\Focus_Book_Pages\All_Focus_Resource_Links\U4 greenb.pdf", "Open File")</f>
        <v>Open File</v>
      </c>
    </row>
    <row r="52" spans="1:2" ht="17" customHeight="1" x14ac:dyDescent="0.35">
      <c r="A52" s="5" t="s">
        <v>51</v>
      </c>
      <c r="B52" s="4" t="str">
        <f>HYPERLINK("C:\Users\User\Documents\Focus_Book_Pages\All_Focus_Resource_Links\U4 greenc.pdf", "Open File")</f>
        <v>Open File</v>
      </c>
    </row>
    <row r="53" spans="1:2" ht="17" customHeight="1" x14ac:dyDescent="0.35">
      <c r="A53" s="5" t="s">
        <v>52</v>
      </c>
      <c r="B53" s="4" t="str">
        <f>HYPERLINK("C:\Users\User\Documents\Focus_Book_Pages\All_Focus_Resource_Links\U4 reda.pdf", "Open File")</f>
        <v>Open File</v>
      </c>
    </row>
    <row r="54" spans="1:2" ht="17" customHeight="1" x14ac:dyDescent="0.35">
      <c r="A54" s="5" t="s">
        <v>53</v>
      </c>
      <c r="B54" s="4" t="str">
        <f>HYPERLINK("C:\Users\User\Documents\Focus_Book_Pages\All_Focus_Resource_Links\U4 redb.pdf", "Open File")</f>
        <v>Open File</v>
      </c>
    </row>
    <row r="55" spans="1:2" ht="17" customHeight="1" x14ac:dyDescent="0.35">
      <c r="A55" s="5" t="s">
        <v>54</v>
      </c>
      <c r="B55" s="4" t="str">
        <f>HYPERLINK("C:\Users\User\Documents\Focus_Book_Pages\All_Focus_Resource_Links\U4 redc.pdf", "Open File")</f>
        <v>Open File</v>
      </c>
    </row>
    <row r="56" spans="1:2" ht="17" customHeight="1" x14ac:dyDescent="0.35">
      <c r="A56" s="1" t="s">
        <v>55</v>
      </c>
      <c r="B56" s="4" t="str">
        <f>HYPERLINK("C:\Users\User\Documents\Focus_Book_Pages\All_Focus_Resource_Links\U5 M1U5 Activators.flipchart", "Open File")</f>
        <v>Open File</v>
      </c>
    </row>
    <row r="57" spans="1:2" ht="17" customHeight="1" x14ac:dyDescent="0.35">
      <c r="A57" s="1" t="s">
        <v>56</v>
      </c>
      <c r="B57" s="4" t="str">
        <f>HYPERLINK("C:\Users\User\Documents\Focus_Book_Pages\All_Focus_Resource_Links\U5 Parent school life interview sheet.docx", "Open File")</f>
        <v>Open File</v>
      </c>
    </row>
    <row r="58" spans="1:2" ht="17" customHeight="1" x14ac:dyDescent="0.35">
      <c r="A58" s="1" t="s">
        <v>57</v>
      </c>
      <c r="B58" s="4" t="str">
        <f>HYPERLINK("C:\Users\User\Documents\Focus_Book_Pages\All_Focus_Resource_Links\U5 Scientists.pptx", "Open File")</f>
        <v>Open File</v>
      </c>
    </row>
    <row r="59" spans="1:2" ht="17" customHeight="1" x14ac:dyDescent="0.35">
      <c r="A59" s="1" t="s">
        <v>58</v>
      </c>
      <c r="B59" s="4" t="str">
        <f>HYPERLINK("C:\Users\User\Documents\Focus_Book_Pages\All_Focus_Resource_Links\U5 What You Should Be.mp4", "Open File")</f>
        <v>Open File</v>
      </c>
    </row>
    <row r="60" spans="1:2" ht="17" customHeight="1" x14ac:dyDescent="0.35">
      <c r="A60" s="5" t="s">
        <v>59</v>
      </c>
      <c r="B60" s="4" t="str">
        <f>HYPERLINK("C:\Users\User\Documents\Focus_Book_Pages\All_Focus_Resource_Links\U5 funny_school_roleplay_should_must.pdf", "Open File")</f>
        <v>Open File</v>
      </c>
    </row>
    <row r="61" spans="1:2" ht="17" customHeight="1" x14ac:dyDescent="0.35">
      <c r="A61" s="5" t="s">
        <v>60</v>
      </c>
      <c r="B61" s="4" t="str">
        <f>HYPERLINK("C:\Users\User\Documents\Focus_Book_Pages\All_Focus_Resource_Links\U6 Find someone who.pdf", "Open File")</f>
        <v>Open File</v>
      </c>
    </row>
    <row r="62" spans="1:2" ht="17" customHeight="1" x14ac:dyDescent="0.35">
      <c r="A62" s="1" t="s">
        <v>61</v>
      </c>
      <c r="B62" s="4" t="str">
        <f>HYPERLINK("C:\Users\User\Documents\Focus_Book_Pages\All_Focus_Resource_Links\U6 Focus1_2E_Unit6_Lesson2_Video_26_GA.mp4", "Open File")</f>
        <v>Open File</v>
      </c>
    </row>
    <row r="63" spans="1:2" ht="17" customHeight="1" x14ac:dyDescent="0.35">
      <c r="A63" s="1" t="s">
        <v>62</v>
      </c>
      <c r="B63" s="4" t="str">
        <f>HYPERLINK("C:\Users\User\Documents\Focus_Book_Pages\All_Focus_Resource_Links\U6 M1U6 Activators.flipchart", "Open File")</f>
        <v>Open File</v>
      </c>
    </row>
    <row r="64" spans="1:2" ht="17" customHeight="1" x14ac:dyDescent="0.35">
      <c r="A64" s="5" t="s">
        <v>63</v>
      </c>
      <c r="B64" s="4" t="str">
        <f>HYPERLINK("C:\Users\User\Documents\Focus_Book_Pages\All_Focus_Resource_Links\U6 Resource_35 past simple.pdf", "Open File")</f>
        <v>Open File</v>
      </c>
    </row>
    <row r="65" spans="1:2" ht="17" customHeight="1" x14ac:dyDescent="0.35">
      <c r="A65" s="1" t="s">
        <v>64</v>
      </c>
      <c r="B65" s="4" t="str">
        <f>HYPERLINK("C:\Users\User\Documents\Focus_Book_Pages\All_Focus_Resource_Links\U7 Board game.docx", "Open File")</f>
        <v>Open File</v>
      </c>
    </row>
    <row r="66" spans="1:2" ht="17" customHeight="1" x14ac:dyDescent="0.35">
      <c r="A66" s="5" t="s">
        <v>65</v>
      </c>
      <c r="B66" s="4" t="str">
        <f>HYPERLINK("C:\Users\User\Documents\Focus_Book_Pages\All_Focus_Resource_Links\U7 Focus1Unit7-Resource_44directions.pdf", "Open File")</f>
        <v>Open File</v>
      </c>
    </row>
    <row r="67" spans="1:2" ht="17" customHeight="1" x14ac:dyDescent="0.35">
      <c r="A67" s="5" t="s">
        <v>66</v>
      </c>
      <c r="B67" s="4" t="str">
        <f>HYPERLINK("C:\Users\User\Documents\Focus_Book_Pages\All_Focus_Resource_Links\U7 Focus1Unit7Resource_42 have you ever.pdf", "Open File")</f>
        <v>Open File</v>
      </c>
    </row>
    <row r="68" spans="1:2" ht="17" customHeight="1" x14ac:dyDescent="0.35">
      <c r="A68" s="1" t="s">
        <v>67</v>
      </c>
      <c r="B68" s="4" t="str">
        <f>HYPERLINK("C:\Users\User\Documents\Focus_Book_Pages\All_Focus_Resource_Links\U7 International Air Travel.pptx", "Open File")</f>
        <v>Open File</v>
      </c>
    </row>
    <row r="69" spans="1:2" ht="17" customHeight="1" x14ac:dyDescent="0.35">
      <c r="A69" s="1" t="s">
        <v>68</v>
      </c>
      <c r="B69" s="4" t="str">
        <f>HYPERLINK("C:\Users\User\Documents\Focus_Book_Pages\All_Focus_Resource_Links\U7 M1U7 Activators.flipchart", "Open File")</f>
        <v>Open File</v>
      </c>
    </row>
    <row r="70" spans="1:2" ht="17" customHeight="1" x14ac:dyDescent="0.35">
      <c r="A70" s="1" t="s">
        <v>69</v>
      </c>
      <c r="B70" s="4" t="str">
        <f>HYPERLINK("C:\Users\User\Documents\Focus_Book_Pages\All_Focus_Resource_Links\U7 Perfect Vacation Quiz.pptx", "Open File")</f>
        <v>Open File</v>
      </c>
    </row>
    <row r="71" spans="1:2" ht="17" customHeight="1" x14ac:dyDescent="0.35">
      <c r="A71" s="1" t="s">
        <v>70</v>
      </c>
      <c r="B71" s="4" t="str">
        <f>HYPERLINK("C:\Users\User\Documents\Focus_Book_Pages\All_Focus_Resource_Links\U7 What City Should You Live In Quiz.pptx", "Open File")</f>
        <v>Open File</v>
      </c>
    </row>
    <row r="72" spans="1:2" ht="17" customHeight="1" x14ac:dyDescent="0.35">
      <c r="A72" s="1" t="s">
        <v>71</v>
      </c>
      <c r="B72" s="4" t="str">
        <f>HYPERLINK("C:\Users\User\Documents\Focus_Book_Pages\All_Focus_Resource_Links\U8 A Planet like Ours.pptx", "Open File")</f>
        <v>Open File</v>
      </c>
    </row>
    <row r="73" spans="1:2" ht="17" customHeight="1" x14ac:dyDescent="0.35">
      <c r="A73" s="1" t="s">
        <v>72</v>
      </c>
      <c r="B73" s="4" t="str">
        <f>HYPERLINK("C:\Users\User\Documents\Focus_Book_Pages\All_Focus_Resource_Links\U8 Choose to Reuse.pptx", "Open File")</f>
        <v>Open File</v>
      </c>
    </row>
    <row r="74" spans="1:2" ht="17" customHeight="1" x14ac:dyDescent="0.35">
      <c r="A74" s="1" t="s">
        <v>73</v>
      </c>
      <c r="B74" s="4" t="str">
        <f>HYPERLINK("C:\Users\User\Documents\Focus_Book_Pages\All_Focus_Resource_Links\U8 Cleaning Up the Earth.pptx", "Open File")</f>
        <v>Open File</v>
      </c>
    </row>
    <row r="75" spans="1:2" ht="17" customHeight="1" x14ac:dyDescent="0.35">
      <c r="A75" s="1" t="s">
        <v>74</v>
      </c>
      <c r="B75" s="4" t="str">
        <f>HYPERLINK("C:\Users\User\Documents\Focus_Book_Pages\All_Focus_Resource_Links\U8 Climate change reader.docx", "Open File")</f>
        <v>Open File</v>
      </c>
    </row>
    <row r="76" spans="1:2" ht="17" customHeight="1" x14ac:dyDescent="0.35">
      <c r="A76" s="1" t="s">
        <v>75</v>
      </c>
      <c r="B76" s="4" t="str">
        <f>HYPERLINK("C:\Users\User\Documents\Focus_Book_Pages\All_Focus_Resource_Links\U8 Environment brainstorm list.docx", "Open File")</f>
        <v>Open File</v>
      </c>
    </row>
    <row r="77" spans="1:2" ht="17" customHeight="1" x14ac:dyDescent="0.35">
      <c r="A77" s="1" t="s">
        <v>76</v>
      </c>
      <c r="B77" s="4" t="str">
        <f>HYPERLINK("C:\Users\User\Documents\Focus_Book_Pages\All_Focus_Resource_Links\U8 Environment verbs.docx", "Open File")</f>
        <v>Open File</v>
      </c>
    </row>
    <row r="78" spans="1:2" ht="17" customHeight="1" x14ac:dyDescent="0.35">
      <c r="A78" s="1" t="s">
        <v>77</v>
      </c>
      <c r="B78" s="4" t="str">
        <f>HYPERLINK("C:\Users\User\Documents\Focus_Book_Pages\All_Focus_Resource_Links\U8 Every Second.pptx", "Open File")</f>
        <v>Open File</v>
      </c>
    </row>
    <row r="79" spans="1:2" ht="17" customHeight="1" x14ac:dyDescent="0.35">
      <c r="A79" s="1" t="s">
        <v>78</v>
      </c>
      <c r="B79" s="4" t="str">
        <f>HYPERLINK("C:\Users\User\Documents\Focus_Book_Pages\All_Focus_Resource_Links\U8 Funny fortunes hard.docx", "Open File")</f>
        <v>Open File</v>
      </c>
    </row>
    <row r="80" spans="1:2" ht="17" customHeight="1" x14ac:dyDescent="0.35">
      <c r="A80" s="1" t="s">
        <v>79</v>
      </c>
      <c r="B80" s="4" t="str">
        <f>HYPERLINK("C:\Users\User\Documents\Focus_Book_Pages\All_Focus_Resource_Links\U8 Funny fortunes simple.docx", "Open File")</f>
        <v>Open File</v>
      </c>
    </row>
    <row r="81" spans="1:2" ht="17" customHeight="1" x14ac:dyDescent="0.35">
      <c r="A81" s="1" t="s">
        <v>80</v>
      </c>
      <c r="B81" s="4" t="str">
        <f>HYPERLINK("C:\Users\User\Documents\Focus_Book_Pages\All_Focus_Resource_Links\U8 Garbage cartoon.flipchart", "Open File")</f>
        <v>Open File</v>
      </c>
    </row>
    <row r="82" spans="1:2" ht="17" customHeight="1" x14ac:dyDescent="0.35">
      <c r="A82" s="1" t="s">
        <v>81</v>
      </c>
      <c r="B82" s="4" t="str">
        <f>HYPERLINK("C:\Users\User\Documents\Focus_Book_Pages\All_Focus_Resource_Links\U8 Global Warming.pptx", "Open File")</f>
        <v>Open File</v>
      </c>
    </row>
    <row r="83" spans="1:2" ht="17" customHeight="1" x14ac:dyDescent="0.35">
      <c r="A83" s="1" t="s">
        <v>82</v>
      </c>
      <c r="B83" s="4" t="str">
        <f>HYPERLINK("C:\Users\User\Documents\Focus_Book_Pages\All_Focus_Resource_Links\U8 If we were gone.pptx", "Open File")</f>
        <v>Open File</v>
      </c>
    </row>
    <row r="84" spans="1:2" ht="17" customHeight="1" x14ac:dyDescent="0.35">
      <c r="A84" s="1" t="s">
        <v>83</v>
      </c>
      <c r="B84" s="4" t="str">
        <f>HYPERLINK("C:\Users\User\Documents\Focus_Book_Pages\All_Focus_Resource_Links\U8 Love Earth.pptx", "Open File")</f>
        <v>Open File</v>
      </c>
    </row>
    <row r="85" spans="1:2" ht="17" customHeight="1" x14ac:dyDescent="0.35">
      <c r="A85" s="1" t="s">
        <v>84</v>
      </c>
      <c r="B85" s="4" t="str">
        <f>HYPERLINK("C:\Users\User\Documents\Focus_Book_Pages\All_Focus_Resource_Links\U8 M1U8 Activators.flipchart", "Open File")</f>
        <v>Open File</v>
      </c>
    </row>
    <row r="86" spans="1:2" ht="17" customHeight="1" x14ac:dyDescent="0.35">
      <c r="A86" s="1" t="s">
        <v>85</v>
      </c>
      <c r="B86" s="4" t="str">
        <f>HYPERLINK("C:\Users\User\Documents\Focus_Book_Pages\All_Focus_Resource_Links\U8 My 7 natural world wonders.pptx", "Open File")</f>
        <v>Open File</v>
      </c>
    </row>
    <row r="87" spans="1:2" ht="17" customHeight="1" x14ac:dyDescent="0.35">
      <c r="A87" s="1" t="s">
        <v>86</v>
      </c>
      <c r="B87" s="4" t="str">
        <f>HYPERLINK("C:\Users\User\Documents\Focus_Book_Pages\All_Focus_Resource_Links\U8 Our Incredible Planet.pptx", "Open File")</f>
        <v>Open File</v>
      </c>
    </row>
    <row r="88" spans="1:2" ht="17" customHeight="1" x14ac:dyDescent="0.35">
      <c r="A88" s="1" t="s">
        <v>87</v>
      </c>
      <c r="B88" s="4" t="str">
        <f>HYPERLINK("C:\Users\User\Documents\Focus_Book_Pages\All_Focus_Resource_Links\U8 Upcycling project.pptx", "Open File")</f>
        <v>Open File</v>
      </c>
    </row>
    <row r="89" spans="1:2" ht="17" customHeight="1" x14ac:dyDescent="0.35">
      <c r="A89" s="5" t="s">
        <v>88</v>
      </c>
      <c r="B89" s="4" t="str">
        <f>HYPERLINK("C:\Users\User\Documents\Focus_Book_Pages\All_Focus_Resource_Links\U8 boardgame_environment.pdf", "Open File")</f>
        <v>Open File</v>
      </c>
    </row>
    <row r="90" spans="1:2" ht="17" customHeight="1" x14ac:dyDescent="0.35">
      <c r="A90" s="5" t="s">
        <v>89</v>
      </c>
      <c r="B90" s="4" t="str">
        <f>HYPERLINK("C:\Users\User\Documents\Focus_Book_Pages\All_Focus_Resource_Links\U8 reading-great_pacific_garbage_patch-20220902.pdf", "Open File")</f>
        <v>Open File</v>
      </c>
    </row>
    <row r="91" spans="1:2" ht="17" customHeight="1" x14ac:dyDescent="0.35">
      <c r="A91" s="1" t="s">
        <v>90</v>
      </c>
      <c r="B91" s="4" t="str">
        <f>HYPERLINK("C:\Users\User\Documents\Focus_Book_Pages\All_Focus_Resource_Links\U8 water pollution reader.docx", "Open File")</f>
        <v>Open File</v>
      </c>
    </row>
    <row r="92" spans="1:2" ht="17" customHeight="1" x14ac:dyDescent="0.35">
      <c r="B92" s="4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Cherry</dc:creator>
  <cp:lastModifiedBy>David Cherry</cp:lastModifiedBy>
  <dcterms:created xsi:type="dcterms:W3CDTF">2026-07-29T06:49:32Z</dcterms:created>
  <dcterms:modified xsi:type="dcterms:W3CDTF">2026-07-29T07:21:22Z</dcterms:modified>
</cp:coreProperties>
</file>