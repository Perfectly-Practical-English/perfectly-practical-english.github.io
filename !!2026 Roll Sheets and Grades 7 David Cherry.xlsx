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rfectlyPracticalEnglish.GitHub.app_6_10_2026\"/>
    </mc:Choice>
  </mc:AlternateContent>
  <xr:revisionPtr revIDLastSave="0" documentId="13_ncr:1_{F7AA92EB-661B-4512-BBAB-8A758FFE8745}" xr6:coauthVersionLast="47" xr6:coauthVersionMax="47" xr10:uidLastSave="{00000000-0000-0000-0000-000000000000}"/>
  <bookViews>
    <workbookView xWindow="2230" yWindow="0" windowWidth="11480" windowHeight="9190" xr2:uid="{FDD99F55-0F01-4DEA-8581-43C2B56677F9}"/>
  </bookViews>
  <sheets>
    <sheet name="Lookup" sheetId="5" r:id="rId1"/>
    <sheet name="Grades" sheetId="3" r:id="rId2"/>
    <sheet name="Grade Sort" sheetId="6" r:id="rId3"/>
    <sheet name="At Risk" sheetId="7" r:id="rId4"/>
    <sheet name="Final Roll Sheet" sheetId="2" state="hidden" r:id="rId5"/>
    <sheet name="Original Paste" sheetId="1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7" l="1"/>
  <c r="N88" i="6"/>
  <c r="B1" i="5"/>
  <c r="O88" i="3"/>
  <c r="P88" i="2"/>
</calcChain>
</file>

<file path=xl/sharedStrings.xml><?xml version="1.0" encoding="utf-8"?>
<sst xmlns="http://schemas.openxmlformats.org/spreadsheetml/2006/main" count="2551" uniqueCount="474">
  <si>
    <t>Matthayom  11.1</t>
  </si>
  <si>
    <t>THANAWAT</t>
  </si>
  <si>
    <t>THAWATCHAIMONGKOL</t>
  </si>
  <si>
    <t>Brook</t>
  </si>
  <si>
    <t>WARAWUT</t>
  </si>
  <si>
    <t>VIRUNCHAICHOT</t>
  </si>
  <si>
    <t>Uma</t>
  </si>
  <si>
    <t>PHAWAT</t>
  </si>
  <si>
    <t>CHARTPRAKARN</t>
  </si>
  <si>
    <t>Concept</t>
  </si>
  <si>
    <t>SUPHAJAK</t>
  </si>
  <si>
    <t>KARNCHANASAI</t>
  </si>
  <si>
    <t>KALLAPAPRUEK</t>
  </si>
  <si>
    <t>EIAMRATTANACHAI</t>
  </si>
  <si>
    <t>Akio</t>
  </si>
  <si>
    <t>SORAPHAT</t>
  </si>
  <si>
    <t>PUMAVONG</t>
  </si>
  <si>
    <t>Neua</t>
  </si>
  <si>
    <t>NACHAROT</t>
  </si>
  <si>
    <t>SRISINLAPAUDOM</t>
  </si>
  <si>
    <t>Beta</t>
  </si>
  <si>
    <t>PAPHAWIN</t>
  </si>
  <si>
    <t>Forwin</t>
  </si>
  <si>
    <t>PATTARADORN</t>
  </si>
  <si>
    <t>NATTAPOBPAK</t>
  </si>
  <si>
    <t>Barry</t>
  </si>
  <si>
    <t>THEERAPITH</t>
  </si>
  <si>
    <t>ASANASEN</t>
  </si>
  <si>
    <t>Prin</t>
  </si>
  <si>
    <t>THANNAKORN</t>
  </si>
  <si>
    <t>SAKUNEE</t>
  </si>
  <si>
    <t>Bose</t>
  </si>
  <si>
    <t>KHEMMANAT</t>
  </si>
  <si>
    <t>MANOSITTISAK</t>
  </si>
  <si>
    <t>Phuping</t>
  </si>
  <si>
    <t>PANNAWIT</t>
  </si>
  <si>
    <t>JAROENKIATTRAI</t>
  </si>
  <si>
    <t>Ongsa</t>
  </si>
  <si>
    <t>CHATCHANOK</t>
  </si>
  <si>
    <t>LOW</t>
  </si>
  <si>
    <t>Gun</t>
  </si>
  <si>
    <t>I</t>
  </si>
  <si>
    <t>KRITTANART</t>
  </si>
  <si>
    <t>KHWANMIMIT</t>
  </si>
  <si>
    <t>Namwan</t>
  </si>
  <si>
    <t>NATTHANAN</t>
  </si>
  <si>
    <t>YINGRUGCHAI</t>
  </si>
  <si>
    <t>Tim</t>
  </si>
  <si>
    <t>NANARUCHOTE</t>
  </si>
  <si>
    <t>KITTITHANAWAT</t>
  </si>
  <si>
    <t>Frame</t>
  </si>
  <si>
    <t>PHUTTHIPHAT</t>
  </si>
  <si>
    <t>AMATAVET</t>
  </si>
  <si>
    <t>Winning</t>
  </si>
  <si>
    <t>BOONRAKSA</t>
  </si>
  <si>
    <t>KAOSAIYANUN</t>
  </si>
  <si>
    <t>Boon</t>
  </si>
  <si>
    <t>KRONPANOD</t>
  </si>
  <si>
    <t>EIAMARAMSI</t>
  </si>
  <si>
    <t>Puri</t>
  </si>
  <si>
    <t>PHUDIT</t>
  </si>
  <si>
    <t>PAIROJKULMANEE</t>
  </si>
  <si>
    <t>Daso</t>
  </si>
  <si>
    <t>DHATSAWITT</t>
  </si>
  <si>
    <t>BANTIVORAT Al</t>
  </si>
  <si>
    <t>Ing</t>
  </si>
  <si>
    <t>NONTHAPAT</t>
  </si>
  <si>
    <t>PHUANGLA-ONG</t>
  </si>
  <si>
    <t>Bush</t>
  </si>
  <si>
    <t>CHAYANGKOON</t>
  </si>
  <si>
    <t>CHAMPATI</t>
  </si>
  <si>
    <t>Bm</t>
  </si>
  <si>
    <t>PUNYAWEE</t>
  </si>
  <si>
    <t>JITRACHA</t>
  </si>
  <si>
    <t>Owen</t>
  </si>
  <si>
    <t>YUTTANIN</t>
  </si>
  <si>
    <t>WONGPRAPAIROJ</t>
  </si>
  <si>
    <t>OD</t>
  </si>
  <si>
    <t>PHOTSAWEE</t>
  </si>
  <si>
    <t>TARAPOOM</t>
  </si>
  <si>
    <t>Pheem</t>
  </si>
  <si>
    <t>JOMMANUT</t>
  </si>
  <si>
    <t>THONGPRAJUK</t>
  </si>
  <si>
    <t>Wayu</t>
  </si>
  <si>
    <t>PHURARIT</t>
  </si>
  <si>
    <t>RAKTONTRAKOON</t>
  </si>
  <si>
    <t>Phu</t>
  </si>
  <si>
    <t>Matthayom  13.2</t>
  </si>
  <si>
    <t>PATIPHAN</t>
  </si>
  <si>
    <t>KHAKHLONG</t>
  </si>
  <si>
    <t>Nano</t>
  </si>
  <si>
    <t>KATANYU</t>
  </si>
  <si>
    <t>PENGSOMYA</t>
  </si>
  <si>
    <t>Eden</t>
  </si>
  <si>
    <t>SUTHIMONT</t>
  </si>
  <si>
    <t>ARUNSAWATWONG</t>
  </si>
  <si>
    <t>Share</t>
  </si>
  <si>
    <t>KORRAVIT</t>
  </si>
  <si>
    <t>VITHAYASAI</t>
  </si>
  <si>
    <t>Judge</t>
  </si>
  <si>
    <t>MACHAT</t>
  </si>
  <si>
    <t>THANACHAROENPIPAT</t>
  </si>
  <si>
    <t>Oun</t>
  </si>
  <si>
    <t>PHOOMIPAT</t>
  </si>
  <si>
    <t>NATKHAEW</t>
  </si>
  <si>
    <t>Phoom</t>
  </si>
  <si>
    <t>INGKRIT</t>
  </si>
  <si>
    <t>TIPWATAKSORN</t>
  </si>
  <si>
    <t>lngkrit</t>
  </si>
  <si>
    <t>PACHARA</t>
  </si>
  <si>
    <t>WONGWAIVISAN</t>
  </si>
  <si>
    <t>Seppe</t>
  </si>
  <si>
    <t>KHANAPHOT</t>
  </si>
  <si>
    <t>PONGPAISARNSRI</t>
  </si>
  <si>
    <t>Data</t>
  </si>
  <si>
    <t>NAPOL</t>
  </si>
  <si>
    <t>UACHOKTAWEEWAT</t>
  </si>
  <si>
    <t>Nop</t>
  </si>
  <si>
    <t>KANNAPHAT</t>
  </si>
  <si>
    <t>MENGAMPHAN</t>
  </si>
  <si>
    <t>Khun</t>
  </si>
  <si>
    <t>NATTHAPAKORN</t>
  </si>
  <si>
    <t>PARKSUK</t>
  </si>
  <si>
    <t>Marwin</t>
  </si>
  <si>
    <t>PHURIT</t>
  </si>
  <si>
    <t>PHATIWET</t>
  </si>
  <si>
    <t>PAWARUT</t>
  </si>
  <si>
    <r>
      <rPr>
        <b/>
        <sz val="10"/>
        <color rgb="FF131313"/>
        <rFont val="Calibri"/>
        <family val="2"/>
      </rPr>
      <t xml:space="preserve">Matthayom   </t>
    </r>
    <r>
      <rPr>
        <b/>
        <sz val="10"/>
        <color rgb="FF282A2A"/>
        <rFont val="Calibri"/>
        <family val="2"/>
      </rPr>
      <t>15.3</t>
    </r>
  </si>
  <si>
    <r>
      <rPr>
        <sz val="10"/>
        <color rgb="FF505250"/>
        <rFont val="Calibri"/>
        <family val="2"/>
      </rPr>
      <t>AKKRAVICH</t>
    </r>
  </si>
  <si>
    <r>
      <rPr>
        <sz val="10"/>
        <color rgb="FF010101"/>
        <rFont val="Calibri"/>
        <family val="2"/>
      </rPr>
      <t>MAIPHET</t>
    </r>
  </si>
  <si>
    <r>
      <rPr>
        <sz val="10"/>
        <color rgb="FF282A2A"/>
        <rFont val="Calibri"/>
        <family val="2"/>
      </rPr>
      <t>Sh</t>
    </r>
    <r>
      <rPr>
        <sz val="10"/>
        <color rgb="FF505250"/>
        <rFont val="Calibri"/>
        <family val="2"/>
      </rPr>
      <t>in</t>
    </r>
  </si>
  <si>
    <r>
      <rPr>
        <sz val="10"/>
        <color rgb="FF3F3F3F"/>
        <rFont val="Calibri"/>
        <family val="2"/>
      </rPr>
      <t>THANAKORN</t>
    </r>
  </si>
  <si>
    <r>
      <rPr>
        <sz val="10"/>
        <color rgb="FF010101"/>
        <rFont val="Calibri"/>
        <family val="2"/>
      </rPr>
      <t>TAYCHATHANYAKUL</t>
    </r>
  </si>
  <si>
    <r>
      <rPr>
        <sz val="10"/>
        <color rgb="FF282A2A"/>
        <rFont val="Calibri"/>
        <family val="2"/>
      </rPr>
      <t>Jay</t>
    </r>
    <r>
      <rPr>
        <sz val="10"/>
        <color rgb="FF3F3F3F"/>
        <rFont val="Calibri"/>
        <family val="2"/>
      </rPr>
      <t>Jay</t>
    </r>
  </si>
  <si>
    <r>
      <rPr>
        <sz val="10"/>
        <color rgb="FF282A2A"/>
        <rFont val="Calibri"/>
        <family val="2"/>
      </rPr>
      <t>PUNNAWAT</t>
    </r>
  </si>
  <si>
    <r>
      <rPr>
        <sz val="10"/>
        <color rgb="FF010101"/>
        <rFont val="Calibri"/>
        <family val="2"/>
      </rPr>
      <t>MAISOPHA</t>
    </r>
  </si>
  <si>
    <r>
      <rPr>
        <sz val="10"/>
        <color rgb="FF282A2A"/>
        <rFont val="Calibri"/>
        <family val="2"/>
      </rPr>
      <t>PunPun</t>
    </r>
  </si>
  <si>
    <r>
      <rPr>
        <sz val="10"/>
        <color rgb="FF282A2A"/>
        <rFont val="Calibri"/>
        <family val="2"/>
      </rPr>
      <t>PURI</t>
    </r>
  </si>
  <si>
    <r>
      <rPr>
        <sz val="10"/>
        <color rgb="FF010101"/>
        <rFont val="Calibri"/>
        <family val="2"/>
      </rPr>
      <t>KHARUEHAPORNPONG</t>
    </r>
  </si>
  <si>
    <r>
      <rPr>
        <sz val="10"/>
        <color rgb="FF282A2A"/>
        <rFont val="Calibri"/>
        <family val="2"/>
      </rPr>
      <t>Puki</t>
    </r>
  </si>
  <si>
    <r>
      <rPr>
        <sz val="10"/>
        <color rgb="FF282A2A"/>
        <rFont val="Calibri"/>
        <family val="2"/>
      </rPr>
      <t xml:space="preserve">API </t>
    </r>
    <r>
      <rPr>
        <sz val="10"/>
        <color rgb="FF131313"/>
        <rFont val="Calibri"/>
        <family val="2"/>
      </rPr>
      <t>CHA</t>
    </r>
  </si>
  <si>
    <r>
      <rPr>
        <sz val="10"/>
        <color rgb="FF010101"/>
        <rFont val="Calibri"/>
        <family val="2"/>
      </rPr>
      <t>SOMBATPINYO</t>
    </r>
  </si>
  <si>
    <r>
      <rPr>
        <sz val="10"/>
        <color rgb="FF131313"/>
        <rFont val="Calibri"/>
        <family val="2"/>
      </rPr>
      <t>Sm</t>
    </r>
    <r>
      <rPr>
        <sz val="10"/>
        <color rgb="FF3F3F3F"/>
        <rFont val="Calibri"/>
        <family val="2"/>
      </rPr>
      <t>il</t>
    </r>
    <r>
      <rPr>
        <sz val="10"/>
        <color rgb="FF131313"/>
        <rFont val="Calibri"/>
        <family val="2"/>
      </rPr>
      <t>e</t>
    </r>
  </si>
  <si>
    <r>
      <rPr>
        <sz val="10"/>
        <color rgb="FF131313"/>
        <rFont val="Calibri"/>
        <family val="2"/>
      </rPr>
      <t>PANYARAT</t>
    </r>
  </si>
  <si>
    <r>
      <rPr>
        <sz val="10"/>
        <color rgb="FF010101"/>
        <rFont val="Calibri"/>
        <family val="2"/>
      </rPr>
      <t>BOONTEEKUL</t>
    </r>
  </si>
  <si>
    <r>
      <rPr>
        <sz val="10"/>
        <color rgb="FF282A2A"/>
        <rFont val="Calibri"/>
        <family val="2"/>
      </rPr>
      <t>Pam mer</t>
    </r>
  </si>
  <si>
    <r>
      <rPr>
        <sz val="10"/>
        <color rgb="FF282A2A"/>
        <rFont val="Calibri"/>
        <family val="2"/>
      </rPr>
      <t>NAKARIN</t>
    </r>
  </si>
  <si>
    <r>
      <rPr>
        <sz val="10"/>
        <color rgb="FF010101"/>
        <rFont val="Calibri"/>
        <family val="2"/>
      </rPr>
      <t>KONGSOONTORN</t>
    </r>
  </si>
  <si>
    <r>
      <rPr>
        <sz val="10"/>
        <color rgb="FF282A2A"/>
        <rFont val="Calibri"/>
        <family val="2"/>
      </rPr>
      <t>Kin</t>
    </r>
  </si>
  <si>
    <r>
      <rPr>
        <sz val="10"/>
        <color rgb="FF131313"/>
        <rFont val="Calibri"/>
        <family val="2"/>
      </rPr>
      <t>CHANANON</t>
    </r>
  </si>
  <si>
    <r>
      <rPr>
        <sz val="10"/>
        <color rgb="FF010101"/>
        <rFont val="Calibri"/>
        <family val="2"/>
      </rPr>
      <t>KUMUEANG</t>
    </r>
  </si>
  <si>
    <r>
      <rPr>
        <sz val="10"/>
        <color rgb="FF282A2A"/>
        <rFont val="Calibri"/>
        <family val="2"/>
      </rPr>
      <t>Mono</t>
    </r>
  </si>
  <si>
    <t>Matthayom  14.1</t>
  </si>
  <si>
    <t>CHOKTAWEESIT</t>
  </si>
  <si>
    <t>CHUTIPAN</t>
  </si>
  <si>
    <t>SANGUANRAKSAK</t>
  </si>
  <si>
    <t>Pun</t>
  </si>
  <si>
    <t>PHONGRAKSA</t>
  </si>
  <si>
    <t>TEANKAMONSUPACHOD</t>
  </si>
  <si>
    <t>Tee</t>
  </si>
  <si>
    <t>KITJANAWANCHAI</t>
  </si>
  <si>
    <t>Cooper</t>
  </si>
  <si>
    <t>TIARAWONG</t>
  </si>
  <si>
    <t>Sky</t>
  </si>
  <si>
    <t>JIRAYU</t>
  </si>
  <si>
    <t>CHIVAMAVIN</t>
  </si>
  <si>
    <t>Paul</t>
  </si>
  <si>
    <t>KITTIUDOM</t>
  </si>
  <si>
    <t>Refill</t>
  </si>
  <si>
    <t>THEERAPATCH</t>
  </si>
  <si>
    <t>CHUMPONPAISAN</t>
  </si>
  <si>
    <t>Tata</t>
  </si>
  <si>
    <t>VACHIRASAK</t>
  </si>
  <si>
    <t>PAKORNPAT</t>
  </si>
  <si>
    <t>PANPURIS</t>
  </si>
  <si>
    <t>KOONWICH</t>
  </si>
  <si>
    <t>NUTPHALOD</t>
  </si>
  <si>
    <t>SETTHAWUT</t>
  </si>
  <si>
    <t>Captain</t>
  </si>
  <si>
    <t>PRANEEPRACHACHO</t>
  </si>
  <si>
    <t>LIU</t>
  </si>
  <si>
    <r>
      <rPr>
        <b/>
        <sz val="10"/>
        <color rgb="FF131313"/>
        <rFont val="Calibri"/>
        <family val="2"/>
      </rPr>
      <t xml:space="preserve">Matthayom   </t>
    </r>
    <r>
      <rPr>
        <b/>
        <sz val="10"/>
        <color rgb="FF282A2A"/>
        <rFont val="Calibri"/>
        <family val="2"/>
      </rPr>
      <t>16.2</t>
    </r>
  </si>
  <si>
    <t>Get</t>
  </si>
  <si>
    <t>AKKRAVICH</t>
  </si>
  <si>
    <t>THANAKORN</t>
  </si>
  <si>
    <t>PUNNAWAT</t>
  </si>
  <si>
    <t>PunPun</t>
  </si>
  <si>
    <t>PURI</t>
  </si>
  <si>
    <t>Puki</t>
  </si>
  <si>
    <t>PANYARAT</t>
  </si>
  <si>
    <t>Pam mer</t>
  </si>
  <si>
    <t>NAKARIN</t>
  </si>
  <si>
    <t>Kin</t>
  </si>
  <si>
    <t>CHANANON</t>
  </si>
  <si>
    <t>Mono</t>
  </si>
  <si>
    <r>
      <t xml:space="preserve">Matthayom   </t>
    </r>
    <r>
      <rPr>
        <b/>
        <sz val="10"/>
        <color rgb="FF282A2A"/>
        <rFont val="Aptos"/>
        <family val="2"/>
      </rPr>
      <t>15.3</t>
    </r>
  </si>
  <si>
    <r>
      <t>Sh</t>
    </r>
    <r>
      <rPr>
        <sz val="10"/>
        <color rgb="FF505250"/>
        <rFont val="Aptos"/>
        <family val="2"/>
      </rPr>
      <t>in</t>
    </r>
  </si>
  <si>
    <r>
      <t>Jay</t>
    </r>
    <r>
      <rPr>
        <sz val="10"/>
        <color rgb="FF3F3F3F"/>
        <rFont val="Aptos"/>
        <family val="2"/>
      </rPr>
      <t>Jay</t>
    </r>
  </si>
  <si>
    <r>
      <t xml:space="preserve">API </t>
    </r>
    <r>
      <rPr>
        <sz val="10"/>
        <color rgb="FF131313"/>
        <rFont val="Aptos"/>
        <family val="2"/>
      </rPr>
      <t>CHA</t>
    </r>
  </si>
  <si>
    <r>
      <t>Sm</t>
    </r>
    <r>
      <rPr>
        <sz val="10"/>
        <color rgb="FF3F3F3F"/>
        <rFont val="Aptos"/>
        <family val="2"/>
      </rPr>
      <t>il</t>
    </r>
    <r>
      <rPr>
        <sz val="10"/>
        <color rgb="FF131313"/>
        <rFont val="Aptos"/>
        <family val="2"/>
      </rPr>
      <t>e</t>
    </r>
  </si>
  <si>
    <r>
      <t xml:space="preserve">Matthayom   </t>
    </r>
    <r>
      <rPr>
        <b/>
        <sz val="10"/>
        <color rgb="FF282A2A"/>
        <rFont val="Aptos"/>
        <family val="2"/>
      </rPr>
      <t>16.2</t>
    </r>
  </si>
  <si>
    <t>~11.1</t>
  </si>
  <si>
    <t>Blue</t>
  </si>
  <si>
    <t>Green</t>
  </si>
  <si>
    <t>Orange</t>
  </si>
  <si>
    <t>Red</t>
  </si>
  <si>
    <t>~14.1</t>
  </si>
  <si>
    <t>~13.2</t>
  </si>
  <si>
    <t>~15.3</t>
  </si>
  <si>
    <t>~16.2</t>
  </si>
  <si>
    <t>Daso Phudit</t>
  </si>
  <si>
    <t>วินนิ่ง42999</t>
  </si>
  <si>
    <t>Frank</t>
  </si>
  <si>
    <t xml:space="preserve"> …</t>
  </si>
  <si>
    <t>bush</t>
  </si>
  <si>
    <t>owen</t>
  </si>
  <si>
    <t>phu-A</t>
  </si>
  <si>
    <t>Chayangkoon</t>
  </si>
  <si>
    <t>ing อิง</t>
  </si>
  <si>
    <t xml:space="preserve">➒, 𐌁💤𐋄𐌍 </t>
  </si>
  <si>
    <t>𖣂 Puri_XD 🌵</t>
  </si>
  <si>
    <t>Pannatat</t>
  </si>
  <si>
    <t>Akkarayaphakphon</t>
  </si>
  <si>
    <t>Meen</t>
  </si>
  <si>
    <t>Toon</t>
  </si>
  <si>
    <t>Nakhun</t>
  </si>
  <si>
    <t>Nava</t>
  </si>
  <si>
    <t>Putter</t>
  </si>
  <si>
    <t>Mojanakul</t>
  </si>
  <si>
    <t>Jongrak</t>
  </si>
  <si>
    <t>Thanakrit</t>
  </si>
  <si>
    <t>Theeraphat</t>
  </si>
  <si>
    <t>Chunphonehisan</t>
  </si>
  <si>
    <t xml:space="preserve"> </t>
  </si>
  <si>
    <t>Thanawat</t>
  </si>
  <si>
    <t>Thawatchaimongkol</t>
  </si>
  <si>
    <t>Warawut</t>
  </si>
  <si>
    <t>Virunchaichot</t>
  </si>
  <si>
    <t>Phawat</t>
  </si>
  <si>
    <t>Chartprakarn</t>
  </si>
  <si>
    <t>Suphajak</t>
  </si>
  <si>
    <t>Karnchanasai</t>
  </si>
  <si>
    <t>Kallapapruek</t>
  </si>
  <si>
    <t>Eiamrattanachai</t>
  </si>
  <si>
    <t>Soraphat</t>
  </si>
  <si>
    <t>Pumavong</t>
  </si>
  <si>
    <t>Nacharot</t>
  </si>
  <si>
    <t>Srisinlapaudom</t>
  </si>
  <si>
    <t>Paphawin</t>
  </si>
  <si>
    <t>Liu</t>
  </si>
  <si>
    <t>Pattaradorn</t>
  </si>
  <si>
    <t>Nattapobpak</t>
  </si>
  <si>
    <t>Theerapith</t>
  </si>
  <si>
    <t>Asanasen</t>
  </si>
  <si>
    <t>Thannakorn</t>
  </si>
  <si>
    <t>Sakunee</t>
  </si>
  <si>
    <t>Khemmanat</t>
  </si>
  <si>
    <t>Manosittisak</t>
  </si>
  <si>
    <t>Pannawit</t>
  </si>
  <si>
    <t>Jaroenkiattrai</t>
  </si>
  <si>
    <t>Chatchanok</t>
  </si>
  <si>
    <t>Low</t>
  </si>
  <si>
    <t>Patiphan</t>
  </si>
  <si>
    <t>Khakhlong</t>
  </si>
  <si>
    <t>Katanyu</t>
  </si>
  <si>
    <t>Pengsomya</t>
  </si>
  <si>
    <t>Suthimont</t>
  </si>
  <si>
    <t>Arunsawatwong</t>
  </si>
  <si>
    <t>Korravit</t>
  </si>
  <si>
    <t>Vithayasai</t>
  </si>
  <si>
    <t>Machat</t>
  </si>
  <si>
    <t>Thanacharoenpipat</t>
  </si>
  <si>
    <t>Phoomipat</t>
  </si>
  <si>
    <t>Natkhaew</t>
  </si>
  <si>
    <t>Ingkrit</t>
  </si>
  <si>
    <t>Tipwataksorn</t>
  </si>
  <si>
    <t>Pachara</t>
  </si>
  <si>
    <t>Wongwaivisan</t>
  </si>
  <si>
    <t>Khanaphot</t>
  </si>
  <si>
    <t>Pongpaisarnsri</t>
  </si>
  <si>
    <t>Napol</t>
  </si>
  <si>
    <t>Uachoktaweewat</t>
  </si>
  <si>
    <t>Kannaphat</t>
  </si>
  <si>
    <t>Mengamphan</t>
  </si>
  <si>
    <t>Natthapakorn</t>
  </si>
  <si>
    <t>Parksuk</t>
  </si>
  <si>
    <t>Phurit</t>
  </si>
  <si>
    <t>Phatiwet</t>
  </si>
  <si>
    <t>Pawarut</t>
  </si>
  <si>
    <t>Praneeprachacho</t>
  </si>
  <si>
    <t>Krittanart</t>
  </si>
  <si>
    <t>Khwanmimit</t>
  </si>
  <si>
    <t>Natthanan</t>
  </si>
  <si>
    <t>Yingrugchai</t>
  </si>
  <si>
    <t>Nanaruchote</t>
  </si>
  <si>
    <t>Kittithanawat</t>
  </si>
  <si>
    <t>Phutthiphat</t>
  </si>
  <si>
    <t>Amatavet</t>
  </si>
  <si>
    <t>Boonraksa</t>
  </si>
  <si>
    <t>Kaosaiyanun</t>
  </si>
  <si>
    <t>Kronpanod</t>
  </si>
  <si>
    <t>Eiamaramsi</t>
  </si>
  <si>
    <t>Phudit</t>
  </si>
  <si>
    <t>Pairojkulmanee</t>
  </si>
  <si>
    <t>Dhatsawitt</t>
  </si>
  <si>
    <t>Bantivorat Al</t>
  </si>
  <si>
    <t>Nonthapat</t>
  </si>
  <si>
    <t>Phuangla-Ong</t>
  </si>
  <si>
    <t>Champati</t>
  </si>
  <si>
    <t>Punyawee</t>
  </si>
  <si>
    <t>Jitracha</t>
  </si>
  <si>
    <t>Yuttanin</t>
  </si>
  <si>
    <t>Wongprapairoj</t>
  </si>
  <si>
    <t>Photsawee</t>
  </si>
  <si>
    <t>Tarapoom</t>
  </si>
  <si>
    <t>Jommanut</t>
  </si>
  <si>
    <t>Thongprajuk</t>
  </si>
  <si>
    <t>Phurarit</t>
  </si>
  <si>
    <t>Raktontrakoon</t>
  </si>
  <si>
    <t>Akkravich</t>
  </si>
  <si>
    <t>Maiphet</t>
  </si>
  <si>
    <t>Thanakorn</t>
  </si>
  <si>
    <t>Taychathanyakul</t>
  </si>
  <si>
    <t>Punnawat</t>
  </si>
  <si>
    <t>Maisopha</t>
  </si>
  <si>
    <t>Kharuehapornpong</t>
  </si>
  <si>
    <t>Api Cha</t>
  </si>
  <si>
    <t>Sombatpinyo</t>
  </si>
  <si>
    <t>Panyarat</t>
  </si>
  <si>
    <t>Boonteekul</t>
  </si>
  <si>
    <t>Nakarin</t>
  </si>
  <si>
    <t>Kongsoontorn</t>
  </si>
  <si>
    <t>Chananon</t>
  </si>
  <si>
    <t>Kumueang</t>
  </si>
  <si>
    <t>Vachirasak</t>
  </si>
  <si>
    <t>Choktaweesit</t>
  </si>
  <si>
    <t>Chutipan</t>
  </si>
  <si>
    <t>Sanguanraksak</t>
  </si>
  <si>
    <t>Pakornpat</t>
  </si>
  <si>
    <t>Phongraksa</t>
  </si>
  <si>
    <t>Panpuris</t>
  </si>
  <si>
    <t>Teankamonsupachod</t>
  </si>
  <si>
    <t>Koonwich</t>
  </si>
  <si>
    <t>Kitjanawanchai</t>
  </si>
  <si>
    <t>Jirayu</t>
  </si>
  <si>
    <t>Chivamavin</t>
  </si>
  <si>
    <t>Setthawut</t>
  </si>
  <si>
    <t>Kittiudom</t>
  </si>
  <si>
    <t>Jinan</t>
  </si>
  <si>
    <t xml:space="preserve">Rachchavich </t>
  </si>
  <si>
    <t>Duangchai</t>
  </si>
  <si>
    <t>Phumiphat</t>
  </si>
  <si>
    <t>Thaweeangkap</t>
  </si>
  <si>
    <t>Naravich</t>
  </si>
  <si>
    <t>Segkhaphant</t>
  </si>
  <si>
    <t xml:space="preserve">Preedipat </t>
  </si>
  <si>
    <t>Niyomcharoenpian</t>
  </si>
  <si>
    <t>Archawin</t>
  </si>
  <si>
    <t>Piriyapinyophong</t>
  </si>
  <si>
    <t>Captain.PP</t>
  </si>
  <si>
    <r>
      <t xml:space="preserve">Tata </t>
    </r>
    <r>
      <rPr>
        <sz val="14"/>
        <color theme="1"/>
        <rFont val="Cordia New"/>
        <family val="2"/>
      </rPr>
      <t>ก.ท</t>
    </r>
    <r>
      <rPr>
        <sz val="11"/>
        <color theme="1"/>
        <rFont val="Aptos"/>
        <family val="2"/>
      </rPr>
      <t>0643649151</t>
    </r>
    <r>
      <rPr>
        <sz val="11"/>
        <color theme="1"/>
        <rFont val="Segoe UI Emoji"/>
        <family val="2"/>
      </rPr>
      <t>💜💛</t>
    </r>
  </si>
  <si>
    <t>GET</t>
  </si>
  <si>
    <t>SkY</t>
  </si>
  <si>
    <t xml:space="preserve">Cooper_22 </t>
  </si>
  <si>
    <t>TOON ABB</t>
  </si>
  <si>
    <t>meennymama</t>
  </si>
  <si>
    <r>
      <t>Nava</t>
    </r>
    <r>
      <rPr>
        <sz val="11"/>
        <color theme="1"/>
        <rFont val="Segoe UI Emoji"/>
        <family val="2"/>
      </rPr>
      <t>🎠🎄🥳🦜</t>
    </r>
  </si>
  <si>
    <t>BARRY</t>
  </si>
  <si>
    <t xml:space="preserve">I'm aki </t>
  </si>
  <si>
    <t xml:space="preserve">Nacharot_Beta </t>
  </si>
  <si>
    <t>Brooky</t>
  </si>
  <si>
    <t>bozie</t>
  </si>
  <si>
    <t>pupingdiwa</t>
  </si>
  <si>
    <t>Prukboonyaprat</t>
  </si>
  <si>
    <t>Boonpipob</t>
  </si>
  <si>
    <t>Warat</t>
  </si>
  <si>
    <t>Pattanapanichakul</t>
  </si>
  <si>
    <t>Plakao</t>
  </si>
  <si>
    <t>Namo</t>
  </si>
  <si>
    <t>Thank</t>
  </si>
  <si>
    <t>Neo</t>
  </si>
  <si>
    <t>Pume</t>
  </si>
  <si>
    <t>Great</t>
  </si>
  <si>
    <t>Suwanapichon</t>
  </si>
  <si>
    <t>punpun</t>
  </si>
  <si>
    <t xml:space="preserve">Pammer </t>
  </si>
  <si>
    <t>Chananon Mono</t>
  </si>
  <si>
    <t>Namo😮‍💨🤫🥶🔥</t>
  </si>
  <si>
    <t>ภูมิภัส ทวีอังกาบ</t>
  </si>
  <si>
    <t>🏎️</t>
  </si>
  <si>
    <t>SMILE</t>
  </si>
  <si>
    <t>🎧_KIN_179</t>
  </si>
  <si>
    <t xml:space="preserve">PuRii😁_Bcc179 </t>
  </si>
  <si>
    <t>preedipat  No.13</t>
  </si>
  <si>
    <t>ハタ😎🐯🐶</t>
  </si>
  <si>
    <t>Worawit</t>
  </si>
  <si>
    <t>shinki</t>
  </si>
  <si>
    <t>PJ</t>
  </si>
  <si>
    <t>Thanakrit​</t>
  </si>
  <si>
    <t>Yeesoonpan</t>
  </si>
  <si>
    <t>RefillSK</t>
  </si>
  <si>
    <t>CRO_AR</t>
  </si>
  <si>
    <t>No Mobile</t>
  </si>
  <si>
    <t>Tablet?</t>
  </si>
  <si>
    <t xml:space="preserve">Khun_NS’Z </t>
  </si>
  <si>
    <t>PW.Sep</t>
  </si>
  <si>
    <t>Cuteenie</t>
  </si>
  <si>
    <t>🍓น้องเอเดน(Eden)🎹</t>
  </si>
  <si>
    <t>Ingkrittt</t>
  </si>
  <si>
    <t>Phoomเท่ระเบิด</t>
  </si>
  <si>
    <t>nano</t>
  </si>
  <si>
    <t>Seat 5.</t>
  </si>
  <si>
    <t>Teacher David</t>
  </si>
  <si>
    <t>Seat 15.</t>
  </si>
  <si>
    <t>Seat 16.</t>
  </si>
  <si>
    <t>Seat 17.</t>
  </si>
  <si>
    <t>David</t>
  </si>
  <si>
    <t>~</t>
  </si>
  <si>
    <t>Seat 1 .</t>
  </si>
  <si>
    <t>Seat 2.</t>
  </si>
  <si>
    <t>Seat 3.</t>
  </si>
  <si>
    <t>Seat 4.</t>
  </si>
  <si>
    <t>Seat 6.</t>
  </si>
  <si>
    <t>Seat 7.</t>
  </si>
  <si>
    <t>Seat 8.</t>
  </si>
  <si>
    <t>Seat 9.</t>
  </si>
  <si>
    <t>Seat 10.</t>
  </si>
  <si>
    <t>Seat 11.</t>
  </si>
  <si>
    <t>Seat 12.</t>
  </si>
  <si>
    <t>Seat 13.</t>
  </si>
  <si>
    <t>Seat 14.</t>
  </si>
  <si>
    <t>Progress Test 1</t>
  </si>
  <si>
    <t>Achira</t>
  </si>
  <si>
    <t>Niammanee</t>
  </si>
  <si>
    <t>Vanickiat</t>
  </si>
  <si>
    <t>Wuttikuntaranon</t>
  </si>
  <si>
    <t>Jadechula</t>
  </si>
  <si>
    <t>Pattanaphechakun</t>
  </si>
  <si>
    <t>Nae-Non</t>
  </si>
  <si>
    <t>Lion</t>
  </si>
  <si>
    <t>Tiger</t>
  </si>
  <si>
    <t>Leopard</t>
  </si>
  <si>
    <t>Jaguar</t>
  </si>
  <si>
    <t>Polar Bear</t>
  </si>
  <si>
    <t>Brown Bear</t>
  </si>
  <si>
    <t>Wolverine</t>
  </si>
  <si>
    <t>Cheetah</t>
  </si>
  <si>
    <t>Cougar</t>
  </si>
  <si>
    <t>Eagle</t>
  </si>
  <si>
    <t>Grizzly</t>
  </si>
  <si>
    <t>Hawk</t>
  </si>
  <si>
    <t>Orca</t>
  </si>
  <si>
    <t>Puma</t>
  </si>
  <si>
    <t>Shark</t>
  </si>
  <si>
    <t>Wolf</t>
  </si>
  <si>
    <t>Alligator</t>
  </si>
  <si>
    <t>Crocodile</t>
  </si>
  <si>
    <t>Animal Student</t>
  </si>
  <si>
    <t>Mark / 30</t>
  </si>
  <si>
    <t>%</t>
  </si>
  <si>
    <t>(blank row)</t>
  </si>
  <si>
    <t>Test 2</t>
  </si>
  <si>
    <t>Test 3</t>
  </si>
  <si>
    <t>Test 4</t>
  </si>
  <si>
    <t>Test 5</t>
  </si>
  <si>
    <t>Progress Test 1 Raw Score</t>
  </si>
  <si>
    <t>Progress Test 1 Score</t>
  </si>
  <si>
    <t>Progress Test 1 Percent</t>
  </si>
  <si>
    <t>M11</t>
  </si>
  <si>
    <t>M13</t>
  </si>
  <si>
    <t>M14</t>
  </si>
  <si>
    <t>M15</t>
  </si>
  <si>
    <t>M16</t>
  </si>
  <si>
    <t>Seat 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</si>
</sst>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131313"/>
      <name val="Calibri"/>
      <family val="2"/>
    </font>
    <font>
      <b/>
      <sz val="10"/>
      <color rgb="FF282A2A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282A2A"/>
      <name val="Calibri"/>
      <family val="2"/>
    </font>
    <font>
      <sz val="10"/>
      <color rgb="FF3F3F3F"/>
      <name val="Calibri"/>
      <family val="2"/>
    </font>
    <font>
      <sz val="10"/>
      <color rgb="FF505250"/>
      <name val="Calibri"/>
      <family val="2"/>
    </font>
    <font>
      <sz val="10"/>
      <color rgb="FF010101"/>
      <name val="Calibri"/>
      <family val="2"/>
    </font>
    <font>
      <sz val="10"/>
      <color rgb="FF131313"/>
      <name val="Calibri"/>
      <family val="2"/>
    </font>
    <font>
      <sz val="11"/>
      <color theme="1"/>
      <name val="Aptos"/>
      <family val="2"/>
    </font>
    <font>
      <sz val="10"/>
      <color rgb="FF000000"/>
      <name val="Aptos"/>
      <family val="2"/>
    </font>
    <font>
      <b/>
      <sz val="10"/>
      <color rgb="FF131313"/>
      <name val="Aptos"/>
      <family val="2"/>
    </font>
    <font>
      <b/>
      <sz val="10"/>
      <color rgb="FF282A2A"/>
      <name val="Aptos"/>
      <family val="2"/>
    </font>
    <font>
      <sz val="10"/>
      <color rgb="FF282A2A"/>
      <name val="Aptos"/>
      <family val="2"/>
    </font>
    <font>
      <sz val="10"/>
      <color rgb="FF3F3F3F"/>
      <name val="Aptos"/>
      <family val="2"/>
    </font>
    <font>
      <sz val="10"/>
      <color rgb="FF505250"/>
      <name val="Aptos"/>
      <family val="2"/>
    </font>
    <font>
      <sz val="10"/>
      <color rgb="FF010101"/>
      <name val="Aptos"/>
      <family val="2"/>
    </font>
    <font>
      <sz val="10"/>
      <color rgb="FF131313"/>
      <name val="Aptos"/>
      <family val="2"/>
    </font>
    <font>
      <sz val="14"/>
      <color theme="1"/>
      <name val="Cordia New"/>
      <family val="2"/>
    </font>
    <font>
      <sz val="11"/>
      <color theme="1"/>
      <name val="Segoe UI Emoji"/>
      <family val="2"/>
    </font>
    <font>
      <sz val="8"/>
      <name val="Calibri"/>
      <family val="2"/>
    </font>
    <font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 wrapText="1" shrinkToFit="1"/>
    </xf>
    <xf numFmtId="1" fontId="7" fillId="0" borderId="1" xfId="0" applyNumberFormat="1" applyFont="1" applyBorder="1" applyAlignment="1">
      <alignment horizontal="left" vertical="top" wrapText="1" shrinkToFit="1"/>
    </xf>
    <xf numFmtId="0" fontId="4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wrapText="1" shrinkToFit="1"/>
    </xf>
    <xf numFmtId="1" fontId="9" fillId="0" borderId="1" xfId="0" applyNumberFormat="1" applyFont="1" applyBorder="1" applyAlignment="1">
      <alignment horizontal="left" vertical="top" wrapText="1" shrinkToFit="1"/>
    </xf>
    <xf numFmtId="0" fontId="12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wrapText="1"/>
    </xf>
    <xf numFmtId="0" fontId="19" fillId="2" borderId="1" xfId="0" applyFont="1" applyFill="1" applyBorder="1" applyAlignment="1">
      <alignment horizontal="left" vertical="top" wrapText="1"/>
    </xf>
    <xf numFmtId="0" fontId="11" fillId="4" borderId="0" xfId="0" applyFont="1" applyFill="1" applyAlignment="1">
      <alignment horizontal="left" wrapText="1"/>
    </xf>
    <xf numFmtId="0" fontId="11" fillId="4" borderId="1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wrapText="1"/>
    </xf>
    <xf numFmtId="0" fontId="18" fillId="2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2" fillId="4" borderId="1" xfId="0" applyFont="1" applyFill="1" applyBorder="1" applyAlignment="1">
      <alignment horizontal="left" wrapText="1"/>
    </xf>
    <xf numFmtId="0" fontId="18" fillId="4" borderId="1" xfId="0" applyFont="1" applyFill="1" applyBorder="1" applyAlignment="1">
      <alignment horizontal="left" wrapText="1"/>
    </xf>
    <xf numFmtId="0" fontId="19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wrapText="1"/>
    </xf>
    <xf numFmtId="0" fontId="15" fillId="4" borderId="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0" fillId="0" borderId="0" xfId="0" applyAlignment="1">
      <alignment vertical="top"/>
    </xf>
    <xf numFmtId="10" fontId="11" fillId="0" borderId="0" xfId="0" applyNumberFormat="1" applyFont="1" applyAlignment="1">
      <alignment horizontal="left" wrapText="1"/>
    </xf>
    <xf numFmtId="10" fontId="0" fillId="0" borderId="0" xfId="0" applyNumberFormat="1" applyProtection="1">
      <protection locked="0"/>
    </xf>
    <xf numFmtId="10" fontId="0" fillId="0" borderId="0" xfId="0" applyNumberFormat="1"/>
    <xf numFmtId="0" fontId="12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1" fillId="5" borderId="0" xfId="0" applyFont="1" applyFill="1" applyAlignment="1">
      <alignment horizontal="left" wrapText="1"/>
    </xf>
    <xf numFmtId="10" fontId="11" fillId="5" borderId="0" xfId="0" applyNumberFormat="1" applyFont="1" applyFill="1" applyAlignment="1">
      <alignment horizontal="left" wrapText="1"/>
    </xf>
    <xf numFmtId="0" fontId="11" fillId="5" borderId="1" xfId="0" applyFont="1" applyFill="1" applyBorder="1" applyAlignment="1">
      <alignment horizontal="left" wrapText="1"/>
    </xf>
    <xf numFmtId="10" fontId="11" fillId="5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F95A-2A8F-479E-B3C6-F57DBD0999FF}">
  <dimension ref="A1:G19"/>
  <sheetViews>
    <sheetView tabSelected="1" workbookViewId="0">
      <selection activeCell="A9" sqref="A9"/>
    </sheetView>
  </sheetViews>
  <sheetFormatPr defaultRowHeight="14.5" x14ac:dyDescent="0.35"/>
  <cols>
    <col min="1" max="1" width="8.7265625" style="54"/>
    <col min="2" max="2" width="7.7265625" style="51" customWidth="1"/>
    <col min="3" max="16384" width="8.7265625" style="54"/>
  </cols>
  <sheetData>
    <row r="1" spans="1:7" x14ac:dyDescent="0.35">
      <c r="A1" s="53"/>
      <c r="B1" s="52" t="str">
        <f>IFERROR(INDEX(Grades!Q:Q,MATCH(A1,Grades!G:G,0)),"Student ID not found")</f>
        <v>Student ID not found</v>
      </c>
      <c r="C1" s="54" t="s">
        <v>468</v>
      </c>
      <c r="D1" s="54" t="s">
        <v>469</v>
      </c>
      <c r="E1" s="54" t="s">
        <v>470</v>
      </c>
      <c r="F1" s="54" t="s">
        <v>471</v>
      </c>
      <c r="G1" s="54" t="s">
        <v>472</v>
      </c>
    </row>
    <row r="2" spans="1:7" x14ac:dyDescent="0.35">
      <c r="C2" s="54">
        <v>42889</v>
      </c>
      <c r="D2" s="54">
        <v>42888</v>
      </c>
      <c r="E2" s="54">
        <v>42973</v>
      </c>
      <c r="F2" s="54">
        <v>43162</v>
      </c>
      <c r="G2" s="54">
        <v>46948</v>
      </c>
    </row>
    <row r="3" spans="1:7" x14ac:dyDescent="0.35">
      <c r="C3" s="54">
        <v>42956</v>
      </c>
      <c r="D3" s="54">
        <v>42929</v>
      </c>
      <c r="E3" s="54">
        <v>42983</v>
      </c>
      <c r="F3" s="54">
        <v>43172</v>
      </c>
      <c r="G3" s="54">
        <v>43045</v>
      </c>
    </row>
    <row r="4" spans="1:7" x14ac:dyDescent="0.35">
      <c r="C4" s="54">
        <v>42974</v>
      </c>
      <c r="D4" s="54">
        <v>42970</v>
      </c>
      <c r="E4" s="54">
        <v>42998</v>
      </c>
      <c r="F4" s="54">
        <v>43225</v>
      </c>
      <c r="G4" s="54">
        <v>43055</v>
      </c>
    </row>
    <row r="5" spans="1:7" x14ac:dyDescent="0.35">
      <c r="C5" s="54">
        <v>42978</v>
      </c>
      <c r="D5" s="54">
        <v>42984</v>
      </c>
      <c r="E5" s="54">
        <v>42999</v>
      </c>
      <c r="F5" s="54">
        <v>43245</v>
      </c>
      <c r="G5" s="54">
        <v>43063</v>
      </c>
    </row>
    <row r="6" spans="1:7" x14ac:dyDescent="0.35">
      <c r="C6" s="54">
        <v>55555</v>
      </c>
      <c r="D6" s="54">
        <v>42981</v>
      </c>
      <c r="E6" s="54">
        <v>55555</v>
      </c>
      <c r="F6" s="54">
        <v>55555</v>
      </c>
      <c r="G6" s="54">
        <v>55555</v>
      </c>
    </row>
    <row r="7" spans="1:7" x14ac:dyDescent="0.35">
      <c r="C7" s="54">
        <v>42979</v>
      </c>
      <c r="D7" s="54">
        <v>55555</v>
      </c>
      <c r="E7" s="54">
        <v>43023</v>
      </c>
      <c r="F7" s="54">
        <v>43249</v>
      </c>
      <c r="G7" s="54">
        <v>43093</v>
      </c>
    </row>
    <row r="8" spans="1:7" x14ac:dyDescent="0.35">
      <c r="C8" s="54">
        <v>42995</v>
      </c>
      <c r="D8" s="54">
        <v>42997</v>
      </c>
      <c r="E8" s="54">
        <v>43032</v>
      </c>
      <c r="F8" s="54">
        <v>43261</v>
      </c>
      <c r="G8" s="54">
        <v>43113</v>
      </c>
    </row>
    <row r="9" spans="1:7" x14ac:dyDescent="0.35">
      <c r="C9" s="54">
        <v>43015</v>
      </c>
      <c r="D9" s="54">
        <v>43038</v>
      </c>
      <c r="E9" s="54">
        <v>43034</v>
      </c>
      <c r="F9" s="54">
        <v>43262</v>
      </c>
      <c r="G9" s="54">
        <v>43128</v>
      </c>
    </row>
    <row r="10" spans="1:7" x14ac:dyDescent="0.35">
      <c r="C10" s="54">
        <v>43017</v>
      </c>
      <c r="D10" s="54">
        <v>43049</v>
      </c>
      <c r="E10" s="54">
        <v>43056</v>
      </c>
      <c r="F10" s="54">
        <v>43265</v>
      </c>
      <c r="G10" s="54">
        <v>43143</v>
      </c>
    </row>
    <row r="11" spans="1:7" x14ac:dyDescent="0.35">
      <c r="C11" s="54">
        <v>43150</v>
      </c>
      <c r="D11" s="54">
        <v>43061</v>
      </c>
      <c r="E11" s="54">
        <v>44558</v>
      </c>
      <c r="F11" s="54">
        <v>46953</v>
      </c>
      <c r="G11" s="54">
        <v>43144</v>
      </c>
    </row>
    <row r="12" spans="1:7" x14ac:dyDescent="0.35">
      <c r="C12" s="54">
        <v>43163</v>
      </c>
      <c r="D12" s="54">
        <v>43071</v>
      </c>
      <c r="E12" s="54">
        <v>44563</v>
      </c>
      <c r="F12" s="54">
        <v>46958</v>
      </c>
      <c r="G12" s="54">
        <v>46496</v>
      </c>
    </row>
    <row r="13" spans="1:7" x14ac:dyDescent="0.35">
      <c r="C13" s="54">
        <v>43173</v>
      </c>
      <c r="D13" s="54">
        <v>43182</v>
      </c>
      <c r="E13" s="54">
        <v>44589</v>
      </c>
      <c r="F13" s="54">
        <v>47035</v>
      </c>
      <c r="G13" s="54">
        <v>46923</v>
      </c>
    </row>
    <row r="14" spans="1:7" x14ac:dyDescent="0.35">
      <c r="C14" s="54">
        <v>43217</v>
      </c>
      <c r="D14" s="54">
        <v>43224</v>
      </c>
      <c r="E14" s="54">
        <v>45165</v>
      </c>
      <c r="F14" s="54">
        <v>47064</v>
      </c>
      <c r="G14" s="54">
        <v>46924</v>
      </c>
    </row>
    <row r="15" spans="1:7" x14ac:dyDescent="0.35">
      <c r="C15" s="54">
        <v>43220</v>
      </c>
      <c r="D15" s="54">
        <v>43251</v>
      </c>
      <c r="E15" s="54">
        <v>45875</v>
      </c>
      <c r="F15" s="54">
        <v>47074</v>
      </c>
      <c r="G15" s="54">
        <v>46930</v>
      </c>
    </row>
    <row r="16" spans="1:7" x14ac:dyDescent="0.35">
      <c r="C16" s="54">
        <v>55555</v>
      </c>
      <c r="D16" s="54">
        <v>43255</v>
      </c>
      <c r="E16" s="54">
        <v>45875</v>
      </c>
      <c r="F16" s="54">
        <v>55555</v>
      </c>
      <c r="G16" s="54">
        <v>55555</v>
      </c>
    </row>
    <row r="17" spans="3:7" x14ac:dyDescent="0.35">
      <c r="C17" s="54">
        <v>43226</v>
      </c>
      <c r="D17" s="54">
        <v>55555</v>
      </c>
      <c r="E17" s="54">
        <v>55555</v>
      </c>
      <c r="F17" s="54">
        <v>47086</v>
      </c>
      <c r="G17" s="54">
        <v>46934</v>
      </c>
    </row>
    <row r="18" spans="3:7" x14ac:dyDescent="0.35">
      <c r="D18" s="54">
        <v>43427</v>
      </c>
      <c r="E18" s="54">
        <v>45892</v>
      </c>
      <c r="G18" s="54">
        <v>46939</v>
      </c>
    </row>
    <row r="19" spans="3:7" x14ac:dyDescent="0.35">
      <c r="E19" s="54">
        <v>46491</v>
      </c>
      <c r="G19" s="54">
        <v>47124</v>
      </c>
    </row>
  </sheetData>
  <sheetProtection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DA88-D806-4EA5-83E7-3513CEDB4157}">
  <dimension ref="A1:Q89"/>
  <sheetViews>
    <sheetView topLeftCell="A76" zoomScaleNormal="100" workbookViewId="0">
      <selection activeCell="E76" sqref="E1:K1048576"/>
    </sheetView>
  </sheetViews>
  <sheetFormatPr defaultRowHeight="17" customHeight="1" x14ac:dyDescent="0.35"/>
  <cols>
    <col min="1" max="1" width="8.7265625" style="18"/>
    <col min="2" max="3" width="8.7265625" style="18" customWidth="1"/>
    <col min="4" max="5" width="14.90625" style="18" customWidth="1"/>
    <col min="6" max="6" width="8.7265625" style="18"/>
    <col min="7" max="7" width="15.1796875" style="18" customWidth="1"/>
    <col min="8" max="8" width="0" style="18" hidden="1" customWidth="1"/>
    <col min="9" max="9" width="12.90625" style="18" bestFit="1" customWidth="1"/>
    <col min="10" max="10" width="19.90625" style="18" customWidth="1"/>
    <col min="11" max="11" width="8" style="18" customWidth="1"/>
    <col min="12" max="13" width="24.1796875" style="18" customWidth="1"/>
    <col min="14" max="14" width="14.08984375" style="18" bestFit="1" customWidth="1"/>
    <col min="15" max="15" width="14.6328125" style="18" customWidth="1"/>
    <col min="16" max="17" width="8.7265625" style="18"/>
  </cols>
  <sheetData>
    <row r="1" spans="1:17" ht="17" customHeight="1" x14ac:dyDescent="0.35">
      <c r="A1" s="17">
        <v>1</v>
      </c>
      <c r="B1" s="15" t="s">
        <v>201</v>
      </c>
      <c r="C1" s="15">
        <v>11.1</v>
      </c>
      <c r="D1" s="19" t="s">
        <v>0</v>
      </c>
      <c r="E1" s="19" t="s">
        <v>417</v>
      </c>
      <c r="F1" s="20">
        <v>11.1</v>
      </c>
      <c r="G1" s="20">
        <v>11.1</v>
      </c>
      <c r="H1" s="20">
        <v>11.1</v>
      </c>
      <c r="I1" s="20">
        <v>11.1</v>
      </c>
      <c r="J1" s="20" t="s">
        <v>233</v>
      </c>
      <c r="K1" s="19"/>
      <c r="L1" s="20"/>
      <c r="M1" s="20"/>
      <c r="N1" s="18" t="s">
        <v>431</v>
      </c>
      <c r="O1" s="15" t="s">
        <v>465</v>
      </c>
      <c r="P1" s="15" t="s">
        <v>466</v>
      </c>
      <c r="Q1" s="15" t="s">
        <v>467</v>
      </c>
    </row>
    <row r="2" spans="1:17" ht="17" customHeight="1" x14ac:dyDescent="0.35">
      <c r="A2" s="17">
        <v>2</v>
      </c>
      <c r="B2" s="17" t="s">
        <v>202</v>
      </c>
      <c r="C2" s="15">
        <v>11.1</v>
      </c>
      <c r="D2" s="22">
        <v>1</v>
      </c>
      <c r="E2" s="22" t="s">
        <v>418</v>
      </c>
      <c r="F2" s="20">
        <v>11.1</v>
      </c>
      <c r="G2" s="22">
        <v>42889</v>
      </c>
      <c r="H2" s="20">
        <v>11.1</v>
      </c>
      <c r="I2" s="23" t="s">
        <v>234</v>
      </c>
      <c r="J2" s="23" t="s">
        <v>235</v>
      </c>
      <c r="K2" s="22" t="s">
        <v>3</v>
      </c>
      <c r="L2" s="23" t="s">
        <v>370</v>
      </c>
      <c r="M2" s="23" t="s">
        <v>444</v>
      </c>
      <c r="N2" s="18" t="s">
        <v>444</v>
      </c>
      <c r="O2" s="17">
        <v>-2</v>
      </c>
      <c r="P2" s="18">
        <v>28</v>
      </c>
      <c r="Q2" s="50">
        <v>0.93300000000000005</v>
      </c>
    </row>
    <row r="3" spans="1:17" ht="17" customHeight="1" x14ac:dyDescent="0.35">
      <c r="A3" s="17">
        <v>3</v>
      </c>
      <c r="B3" s="17" t="s">
        <v>202</v>
      </c>
      <c r="C3" s="15">
        <v>11.1</v>
      </c>
      <c r="D3" s="22">
        <v>2</v>
      </c>
      <c r="E3" s="22" t="s">
        <v>419</v>
      </c>
      <c r="F3" s="20">
        <v>11.1</v>
      </c>
      <c r="G3" s="22">
        <v>42956</v>
      </c>
      <c r="H3" s="20">
        <v>11.1</v>
      </c>
      <c r="I3" s="23" t="s">
        <v>236</v>
      </c>
      <c r="J3" s="23" t="s">
        <v>237</v>
      </c>
      <c r="K3" s="22" t="s">
        <v>6</v>
      </c>
      <c r="L3" s="20" t="s">
        <v>403</v>
      </c>
      <c r="M3" s="20" t="s">
        <v>446</v>
      </c>
      <c r="N3" s="18" t="s">
        <v>446</v>
      </c>
      <c r="O3" s="17">
        <v>-9</v>
      </c>
      <c r="P3" s="18">
        <v>21</v>
      </c>
      <c r="Q3" s="50">
        <v>0.7</v>
      </c>
    </row>
    <row r="4" spans="1:17" ht="17" customHeight="1" x14ac:dyDescent="0.35">
      <c r="A4" s="17">
        <v>4</v>
      </c>
      <c r="B4" s="17" t="s">
        <v>202</v>
      </c>
      <c r="C4" s="15">
        <v>11.1</v>
      </c>
      <c r="D4" s="22">
        <v>3</v>
      </c>
      <c r="E4" s="22" t="s">
        <v>420</v>
      </c>
      <c r="F4" s="20">
        <v>11.1</v>
      </c>
      <c r="G4" s="22">
        <v>42974</v>
      </c>
      <c r="H4" s="20">
        <v>11.1</v>
      </c>
      <c r="I4" s="23" t="s">
        <v>238</v>
      </c>
      <c r="J4" s="23" t="s">
        <v>239</v>
      </c>
      <c r="K4" s="22" t="s">
        <v>9</v>
      </c>
      <c r="L4" s="23" t="s">
        <v>9</v>
      </c>
      <c r="M4" s="23" t="s">
        <v>447</v>
      </c>
      <c r="N4" s="18" t="s">
        <v>447</v>
      </c>
      <c r="O4" s="17">
        <v>-4</v>
      </c>
      <c r="P4" s="18">
        <v>26</v>
      </c>
      <c r="Q4" s="50">
        <v>0.86699999999999999</v>
      </c>
    </row>
    <row r="5" spans="1:17" ht="17" customHeight="1" x14ac:dyDescent="0.35">
      <c r="A5" s="17">
        <v>5</v>
      </c>
      <c r="B5" s="17" t="s">
        <v>203</v>
      </c>
      <c r="C5" s="15">
        <v>11.1</v>
      </c>
      <c r="D5" s="22">
        <v>4</v>
      </c>
      <c r="E5" s="22" t="s">
        <v>421</v>
      </c>
      <c r="F5" s="20">
        <v>11.1</v>
      </c>
      <c r="G5" s="22">
        <v>42978</v>
      </c>
      <c r="H5" s="20">
        <v>11.1</v>
      </c>
      <c r="I5" s="23" t="s">
        <v>240</v>
      </c>
      <c r="J5" s="23" t="s">
        <v>241</v>
      </c>
      <c r="K5" s="19" t="s">
        <v>348</v>
      </c>
      <c r="L5" s="20" t="s">
        <v>402</v>
      </c>
      <c r="M5" s="20" t="s">
        <v>448</v>
      </c>
      <c r="N5" s="18" t="s">
        <v>448</v>
      </c>
      <c r="O5" s="17">
        <v>30</v>
      </c>
      <c r="P5" s="18">
        <v>30</v>
      </c>
      <c r="Q5" s="50">
        <v>1</v>
      </c>
    </row>
    <row r="6" spans="1:17" ht="17" customHeight="1" x14ac:dyDescent="0.35">
      <c r="A6" s="33">
        <v>6</v>
      </c>
      <c r="B6" s="33"/>
      <c r="C6" s="33"/>
      <c r="D6" s="35"/>
      <c r="E6" s="35" t="s">
        <v>411</v>
      </c>
      <c r="F6" s="36">
        <v>0</v>
      </c>
      <c r="G6" s="35">
        <v>55555</v>
      </c>
      <c r="H6" s="36">
        <v>0</v>
      </c>
      <c r="I6" s="36" t="s">
        <v>412</v>
      </c>
      <c r="J6" s="36" t="s">
        <v>416</v>
      </c>
      <c r="K6" s="35"/>
      <c r="L6" s="36"/>
      <c r="M6" s="36" t="s">
        <v>449</v>
      </c>
      <c r="N6" s="18" t="s">
        <v>449</v>
      </c>
      <c r="O6" s="33"/>
    </row>
    <row r="7" spans="1:17" ht="17" customHeight="1" x14ac:dyDescent="0.35">
      <c r="A7" s="17">
        <v>7</v>
      </c>
      <c r="B7" s="17" t="s">
        <v>203</v>
      </c>
      <c r="C7" s="15">
        <v>11.1</v>
      </c>
      <c r="D7" s="22">
        <v>5</v>
      </c>
      <c r="E7" s="22" t="s">
        <v>422</v>
      </c>
      <c r="F7" s="20">
        <v>11.1</v>
      </c>
      <c r="G7" s="22">
        <v>42979</v>
      </c>
      <c r="H7" s="20">
        <v>11.1</v>
      </c>
      <c r="I7" s="23" t="s">
        <v>242</v>
      </c>
      <c r="J7" s="23" t="s">
        <v>243</v>
      </c>
      <c r="K7" s="22" t="s">
        <v>14</v>
      </c>
      <c r="L7" s="23" t="s">
        <v>368</v>
      </c>
      <c r="M7" s="23" t="s">
        <v>450</v>
      </c>
      <c r="N7" s="18" t="s">
        <v>450</v>
      </c>
      <c r="O7" s="17">
        <v>-7</v>
      </c>
      <c r="P7" s="18">
        <v>23</v>
      </c>
      <c r="Q7" s="50">
        <v>0.76700000000000002</v>
      </c>
    </row>
    <row r="8" spans="1:17" ht="17" customHeight="1" x14ac:dyDescent="0.35">
      <c r="A8" s="17">
        <v>8</v>
      </c>
      <c r="B8" s="17" t="s">
        <v>203</v>
      </c>
      <c r="C8" s="15">
        <v>11.1</v>
      </c>
      <c r="D8" s="22">
        <v>6</v>
      </c>
      <c r="E8" s="22" t="s">
        <v>423</v>
      </c>
      <c r="F8" s="20">
        <v>11.1</v>
      </c>
      <c r="G8" s="22">
        <v>42995</v>
      </c>
      <c r="H8" s="20">
        <v>11.1</v>
      </c>
      <c r="I8" s="23" t="s">
        <v>244</v>
      </c>
      <c r="J8" s="23" t="s">
        <v>245</v>
      </c>
      <c r="K8" s="22" t="s">
        <v>17</v>
      </c>
      <c r="L8" s="23" t="s">
        <v>17</v>
      </c>
      <c r="M8" s="23" t="s">
        <v>442</v>
      </c>
      <c r="N8" s="18" t="s">
        <v>442</v>
      </c>
      <c r="O8" s="17">
        <v>30</v>
      </c>
      <c r="P8" s="18">
        <v>30</v>
      </c>
      <c r="Q8" s="50">
        <v>1</v>
      </c>
    </row>
    <row r="9" spans="1:17" ht="17" customHeight="1" x14ac:dyDescent="0.35">
      <c r="A9" s="17">
        <v>9</v>
      </c>
      <c r="B9" s="17" t="s">
        <v>204</v>
      </c>
      <c r="C9" s="15">
        <v>11.1</v>
      </c>
      <c r="D9" s="22">
        <v>7</v>
      </c>
      <c r="E9" s="22" t="s">
        <v>424</v>
      </c>
      <c r="F9" s="20">
        <v>11.1</v>
      </c>
      <c r="G9" s="22">
        <v>43015</v>
      </c>
      <c r="H9" s="20">
        <v>11.1</v>
      </c>
      <c r="I9" s="23" t="s">
        <v>246</v>
      </c>
      <c r="J9" s="23" t="s">
        <v>247</v>
      </c>
      <c r="K9" s="22" t="s">
        <v>20</v>
      </c>
      <c r="L9" s="23" t="s">
        <v>369</v>
      </c>
      <c r="M9" s="23" t="s">
        <v>441</v>
      </c>
      <c r="N9" s="18" t="s">
        <v>441</v>
      </c>
      <c r="O9" s="17">
        <v>-2</v>
      </c>
      <c r="P9" s="18">
        <v>28</v>
      </c>
      <c r="Q9" s="50">
        <v>0.93300000000000005</v>
      </c>
    </row>
    <row r="10" spans="1:17" ht="17" customHeight="1" x14ac:dyDescent="0.35">
      <c r="A10" s="17">
        <v>10</v>
      </c>
      <c r="B10" s="17" t="s">
        <v>204</v>
      </c>
      <c r="C10" s="15">
        <v>11.1</v>
      </c>
      <c r="D10" s="22">
        <v>8</v>
      </c>
      <c r="E10" s="22" t="s">
        <v>425</v>
      </c>
      <c r="F10" s="20">
        <v>11.1</v>
      </c>
      <c r="G10" s="22">
        <v>43017</v>
      </c>
      <c r="H10" s="20">
        <v>11.1</v>
      </c>
      <c r="I10" s="23" t="s">
        <v>248</v>
      </c>
      <c r="J10" s="23" t="s">
        <v>249</v>
      </c>
      <c r="K10" s="22" t="s">
        <v>22</v>
      </c>
      <c r="L10" s="23" t="s">
        <v>22</v>
      </c>
      <c r="M10" s="23" t="s">
        <v>439</v>
      </c>
      <c r="N10" s="18" t="s">
        <v>439</v>
      </c>
      <c r="O10" s="33" t="s">
        <v>233</v>
      </c>
    </row>
    <row r="11" spans="1:17" ht="17" customHeight="1" x14ac:dyDescent="0.35">
      <c r="A11" s="17">
        <v>11</v>
      </c>
      <c r="B11" s="17" t="s">
        <v>204</v>
      </c>
      <c r="C11" s="15">
        <v>11.1</v>
      </c>
      <c r="D11" s="22">
        <v>9</v>
      </c>
      <c r="E11" s="22" t="s">
        <v>426</v>
      </c>
      <c r="F11" s="20">
        <v>11.1</v>
      </c>
      <c r="G11" s="22">
        <v>43150</v>
      </c>
      <c r="H11" s="20">
        <v>11.1</v>
      </c>
      <c r="I11" s="23" t="s">
        <v>250</v>
      </c>
      <c r="J11" s="23" t="s">
        <v>251</v>
      </c>
      <c r="K11" s="22" t="s">
        <v>25</v>
      </c>
      <c r="L11" s="23" t="s">
        <v>367</v>
      </c>
      <c r="M11" s="23" t="s">
        <v>451</v>
      </c>
      <c r="N11" s="18" t="s">
        <v>451</v>
      </c>
      <c r="O11" s="17">
        <v>-10</v>
      </c>
      <c r="P11" s="18">
        <v>20</v>
      </c>
      <c r="Q11" s="50">
        <v>0.66700000000000004</v>
      </c>
    </row>
    <row r="12" spans="1:17" ht="17" customHeight="1" x14ac:dyDescent="0.35">
      <c r="A12" s="17">
        <v>12</v>
      </c>
      <c r="B12" s="17" t="s">
        <v>204</v>
      </c>
      <c r="C12" s="15">
        <v>11.1</v>
      </c>
      <c r="D12" s="22">
        <v>10</v>
      </c>
      <c r="E12" s="22" t="s">
        <v>427</v>
      </c>
      <c r="F12" s="20">
        <v>11.1</v>
      </c>
      <c r="G12" s="22">
        <v>43163</v>
      </c>
      <c r="H12" s="20">
        <v>11.1</v>
      </c>
      <c r="I12" s="23" t="s">
        <v>252</v>
      </c>
      <c r="J12" s="23" t="s">
        <v>253</v>
      </c>
      <c r="K12" s="22" t="s">
        <v>28</v>
      </c>
      <c r="L12" s="23" t="s">
        <v>28</v>
      </c>
      <c r="M12" s="23" t="s">
        <v>443</v>
      </c>
      <c r="N12" s="18" t="s">
        <v>443</v>
      </c>
      <c r="O12" s="17">
        <v>30</v>
      </c>
      <c r="P12" s="18">
        <v>30</v>
      </c>
      <c r="Q12" s="50">
        <v>1</v>
      </c>
    </row>
    <row r="13" spans="1:17" ht="17" customHeight="1" x14ac:dyDescent="0.35">
      <c r="A13" s="17">
        <v>13</v>
      </c>
      <c r="B13" s="17" t="s">
        <v>205</v>
      </c>
      <c r="C13" s="15">
        <v>11.1</v>
      </c>
      <c r="D13" s="22">
        <v>11</v>
      </c>
      <c r="E13" s="22" t="s">
        <v>428</v>
      </c>
      <c r="F13" s="20">
        <v>11.1</v>
      </c>
      <c r="G13" s="22">
        <v>43173</v>
      </c>
      <c r="H13" s="20">
        <v>11.1</v>
      </c>
      <c r="I13" s="23" t="s">
        <v>254</v>
      </c>
      <c r="J13" s="23" t="s">
        <v>255</v>
      </c>
      <c r="K13" s="22" t="s">
        <v>31</v>
      </c>
      <c r="L13" s="23" t="s">
        <v>371</v>
      </c>
      <c r="M13" s="23" t="s">
        <v>452</v>
      </c>
      <c r="N13" s="18" t="s">
        <v>452</v>
      </c>
      <c r="O13" s="17">
        <v>-1</v>
      </c>
      <c r="P13" s="18">
        <v>29</v>
      </c>
      <c r="Q13" s="50">
        <v>0.96699999999999997</v>
      </c>
    </row>
    <row r="14" spans="1:17" ht="17" customHeight="1" x14ac:dyDescent="0.35">
      <c r="A14" s="17">
        <v>14</v>
      </c>
      <c r="B14" s="17" t="s">
        <v>205</v>
      </c>
      <c r="C14" s="15">
        <v>11.1</v>
      </c>
      <c r="D14" s="22">
        <v>12</v>
      </c>
      <c r="E14" s="22" t="s">
        <v>429</v>
      </c>
      <c r="F14" s="20">
        <v>11.1</v>
      </c>
      <c r="G14" s="22">
        <v>43217</v>
      </c>
      <c r="H14" s="20">
        <v>11.1</v>
      </c>
      <c r="I14" s="23" t="s">
        <v>256</v>
      </c>
      <c r="J14" s="23" t="s">
        <v>257</v>
      </c>
      <c r="K14" s="22" t="s">
        <v>34</v>
      </c>
      <c r="L14" s="23" t="s">
        <v>372</v>
      </c>
      <c r="M14" s="23" t="s">
        <v>453</v>
      </c>
      <c r="N14" s="18" t="s">
        <v>453</v>
      </c>
      <c r="O14" s="17">
        <v>30</v>
      </c>
      <c r="P14" s="18">
        <v>30</v>
      </c>
      <c r="Q14" s="50">
        <v>1</v>
      </c>
    </row>
    <row r="15" spans="1:17" ht="17" customHeight="1" x14ac:dyDescent="0.35">
      <c r="A15" s="17">
        <v>15</v>
      </c>
      <c r="B15" s="17" t="s">
        <v>205</v>
      </c>
      <c r="C15" s="15">
        <v>11.1</v>
      </c>
      <c r="D15" s="22">
        <v>13</v>
      </c>
      <c r="E15" s="22" t="s">
        <v>430</v>
      </c>
      <c r="F15" s="20">
        <v>11.1</v>
      </c>
      <c r="G15" s="22">
        <v>43220</v>
      </c>
      <c r="H15" s="20">
        <v>11.1</v>
      </c>
      <c r="I15" s="23" t="s">
        <v>258</v>
      </c>
      <c r="J15" s="23" t="s">
        <v>259</v>
      </c>
      <c r="K15" s="22" t="s">
        <v>37</v>
      </c>
      <c r="L15" s="23" t="s">
        <v>37</v>
      </c>
      <c r="M15" s="23" t="s">
        <v>440</v>
      </c>
      <c r="N15" s="18" t="s">
        <v>440</v>
      </c>
      <c r="O15" s="17">
        <v>-1</v>
      </c>
      <c r="P15" s="18">
        <v>29</v>
      </c>
      <c r="Q15" s="50">
        <v>0.96699999999999997</v>
      </c>
    </row>
    <row r="16" spans="1:17" ht="17" customHeight="1" x14ac:dyDescent="0.35">
      <c r="A16" s="17">
        <v>16</v>
      </c>
      <c r="B16" s="17"/>
      <c r="C16" s="15"/>
      <c r="D16" s="22"/>
      <c r="E16" s="22" t="s">
        <v>413</v>
      </c>
      <c r="F16" s="20">
        <v>0</v>
      </c>
      <c r="G16" s="22">
        <v>55555</v>
      </c>
      <c r="H16" s="20">
        <v>0</v>
      </c>
      <c r="I16" s="23" t="s">
        <v>412</v>
      </c>
      <c r="J16" s="23"/>
      <c r="K16" s="22"/>
      <c r="L16" s="23"/>
      <c r="M16" s="23" t="s">
        <v>454</v>
      </c>
      <c r="N16" s="18" t="s">
        <v>454</v>
      </c>
      <c r="O16" s="17"/>
    </row>
    <row r="17" spans="1:17" ht="17" customHeight="1" x14ac:dyDescent="0.35">
      <c r="A17" s="17">
        <v>17</v>
      </c>
      <c r="B17" s="17" t="s">
        <v>205</v>
      </c>
      <c r="C17" s="15">
        <v>11.1</v>
      </c>
      <c r="D17" s="22">
        <v>14</v>
      </c>
      <c r="E17" s="22" t="s">
        <v>414</v>
      </c>
      <c r="F17" s="20">
        <v>11.1</v>
      </c>
      <c r="G17" s="22">
        <v>43226</v>
      </c>
      <c r="H17" s="20">
        <v>11.1</v>
      </c>
      <c r="I17" s="23" t="s">
        <v>260</v>
      </c>
      <c r="J17" s="23" t="s">
        <v>261</v>
      </c>
      <c r="K17" s="22" t="s">
        <v>40</v>
      </c>
      <c r="L17" s="20" t="s">
        <v>402</v>
      </c>
      <c r="M17" s="20" t="s">
        <v>445</v>
      </c>
      <c r="N17" s="18" t="s">
        <v>445</v>
      </c>
      <c r="O17" s="17">
        <v>30</v>
      </c>
      <c r="P17" s="18">
        <v>30</v>
      </c>
      <c r="Q17" s="50">
        <v>1</v>
      </c>
    </row>
    <row r="18" spans="1:17" ht="17" customHeight="1" x14ac:dyDescent="0.35">
      <c r="A18" s="17">
        <v>18</v>
      </c>
      <c r="B18" s="15" t="s">
        <v>207</v>
      </c>
      <c r="C18" s="15">
        <v>13.2</v>
      </c>
      <c r="D18" s="19" t="s">
        <v>87</v>
      </c>
      <c r="E18" s="19" t="s">
        <v>417</v>
      </c>
      <c r="F18" s="20">
        <v>13.2</v>
      </c>
      <c r="G18" s="20">
        <v>13.2</v>
      </c>
      <c r="H18" s="20">
        <v>13.2</v>
      </c>
      <c r="I18" s="20">
        <v>13.2</v>
      </c>
      <c r="J18" s="20" t="s">
        <v>233</v>
      </c>
      <c r="K18" s="19"/>
      <c r="L18" s="20"/>
      <c r="M18" s="20"/>
      <c r="O18" s="15"/>
    </row>
    <row r="19" spans="1:17" ht="17" customHeight="1" x14ac:dyDescent="0.35">
      <c r="A19" s="17">
        <v>19</v>
      </c>
      <c r="B19" s="17" t="s">
        <v>202</v>
      </c>
      <c r="C19" s="15">
        <v>13.2</v>
      </c>
      <c r="D19" s="22">
        <v>1</v>
      </c>
      <c r="E19" s="22" t="s">
        <v>418</v>
      </c>
      <c r="F19" s="20">
        <v>13.2</v>
      </c>
      <c r="G19" s="22">
        <v>42888</v>
      </c>
      <c r="H19" s="20">
        <v>13.2</v>
      </c>
      <c r="I19" s="23" t="s">
        <v>262</v>
      </c>
      <c r="J19" s="23" t="s">
        <v>263</v>
      </c>
      <c r="K19" s="22" t="s">
        <v>90</v>
      </c>
      <c r="L19" s="23" t="s">
        <v>410</v>
      </c>
      <c r="M19" s="23" t="s">
        <v>444</v>
      </c>
      <c r="N19" s="18" t="s">
        <v>444</v>
      </c>
      <c r="O19" s="17">
        <v>-4</v>
      </c>
      <c r="P19" s="18">
        <v>26</v>
      </c>
      <c r="Q19" s="50">
        <v>0.86699999999999999</v>
      </c>
    </row>
    <row r="20" spans="1:17" ht="17" customHeight="1" x14ac:dyDescent="0.35">
      <c r="A20" s="17">
        <v>20</v>
      </c>
      <c r="B20" s="17" t="s">
        <v>202</v>
      </c>
      <c r="C20" s="15">
        <v>13.2</v>
      </c>
      <c r="D20" s="22">
        <v>2</v>
      </c>
      <c r="E20" s="22" t="s">
        <v>419</v>
      </c>
      <c r="F20" s="20">
        <v>13.2</v>
      </c>
      <c r="G20" s="22">
        <v>42929</v>
      </c>
      <c r="H20" s="20">
        <v>13.2</v>
      </c>
      <c r="I20" s="23" t="s">
        <v>264</v>
      </c>
      <c r="J20" s="23" t="s">
        <v>265</v>
      </c>
      <c r="K20" s="22" t="s">
        <v>93</v>
      </c>
      <c r="L20" s="23" t="s">
        <v>407</v>
      </c>
      <c r="M20" s="23" t="s">
        <v>446</v>
      </c>
      <c r="N20" s="18" t="s">
        <v>446</v>
      </c>
      <c r="O20" s="17">
        <v>-4</v>
      </c>
      <c r="P20" s="18">
        <v>26</v>
      </c>
      <c r="Q20" s="50">
        <v>0.86699999999999999</v>
      </c>
    </row>
    <row r="21" spans="1:17" ht="17" customHeight="1" x14ac:dyDescent="0.35">
      <c r="A21" s="17">
        <v>21</v>
      </c>
      <c r="B21" s="17" t="s">
        <v>202</v>
      </c>
      <c r="C21" s="15">
        <v>13.2</v>
      </c>
      <c r="D21" s="22">
        <v>3</v>
      </c>
      <c r="E21" s="22" t="s">
        <v>420</v>
      </c>
      <c r="F21" s="20">
        <v>13.2</v>
      </c>
      <c r="G21" s="22">
        <v>42970</v>
      </c>
      <c r="H21" s="20">
        <v>13.2</v>
      </c>
      <c r="I21" s="23" t="s">
        <v>266</v>
      </c>
      <c r="J21" s="23" t="s">
        <v>267</v>
      </c>
      <c r="K21" s="22" t="s">
        <v>96</v>
      </c>
      <c r="L21" s="23" t="s">
        <v>266</v>
      </c>
      <c r="M21" s="23" t="s">
        <v>447</v>
      </c>
      <c r="N21" s="18" t="s">
        <v>447</v>
      </c>
      <c r="O21" s="17">
        <v>-3</v>
      </c>
      <c r="P21" s="18">
        <v>27</v>
      </c>
      <c r="Q21" s="50">
        <v>0.9</v>
      </c>
    </row>
    <row r="22" spans="1:17" ht="17" customHeight="1" x14ac:dyDescent="0.35">
      <c r="A22" s="17">
        <v>22</v>
      </c>
      <c r="B22" s="17"/>
      <c r="C22" s="15"/>
      <c r="D22" s="22"/>
      <c r="E22" s="22"/>
      <c r="F22" s="20"/>
      <c r="G22" s="22">
        <v>42984</v>
      </c>
      <c r="H22" s="20"/>
      <c r="I22" s="23" t="s">
        <v>432</v>
      </c>
      <c r="J22" s="23" t="s">
        <v>433</v>
      </c>
      <c r="K22" s="19"/>
      <c r="L22" s="20"/>
      <c r="M22" s="20" t="s">
        <v>448</v>
      </c>
      <c r="N22" s="18" t="s">
        <v>448</v>
      </c>
      <c r="O22" s="17">
        <v>30</v>
      </c>
      <c r="P22" s="18">
        <v>30</v>
      </c>
      <c r="Q22" s="50">
        <v>1</v>
      </c>
    </row>
    <row r="23" spans="1:17" ht="17" customHeight="1" x14ac:dyDescent="0.35">
      <c r="A23" s="17">
        <v>23</v>
      </c>
      <c r="B23" s="17" t="s">
        <v>203</v>
      </c>
      <c r="C23" s="15">
        <v>13.2</v>
      </c>
      <c r="D23" s="22">
        <v>4</v>
      </c>
      <c r="E23" s="22" t="s">
        <v>421</v>
      </c>
      <c r="F23" s="20">
        <v>13.2</v>
      </c>
      <c r="G23" s="22">
        <v>42981</v>
      </c>
      <c r="H23" s="20">
        <v>13.2</v>
      </c>
      <c r="I23" s="23" t="s">
        <v>268</v>
      </c>
      <c r="J23" s="23" t="s">
        <v>269</v>
      </c>
      <c r="K23" s="22" t="s">
        <v>99</v>
      </c>
      <c r="L23" s="23" t="s">
        <v>99</v>
      </c>
      <c r="M23" s="23" t="s">
        <v>449</v>
      </c>
      <c r="N23" s="18" t="s">
        <v>449</v>
      </c>
      <c r="O23" s="17">
        <v>-5</v>
      </c>
      <c r="P23" s="18">
        <v>25</v>
      </c>
      <c r="Q23" s="50">
        <v>0.83299999999999996</v>
      </c>
    </row>
    <row r="24" spans="1:17" ht="17" customHeight="1" x14ac:dyDescent="0.35">
      <c r="A24" s="33">
        <v>24</v>
      </c>
      <c r="B24" s="33"/>
      <c r="C24" s="33"/>
      <c r="D24" s="35"/>
      <c r="E24" s="35" t="s">
        <v>411</v>
      </c>
      <c r="F24" s="36">
        <v>0</v>
      </c>
      <c r="G24" s="35">
        <v>55555</v>
      </c>
      <c r="H24" s="36">
        <v>0</v>
      </c>
      <c r="I24" s="36" t="s">
        <v>412</v>
      </c>
      <c r="J24" s="36" t="s">
        <v>416</v>
      </c>
      <c r="K24" s="35"/>
      <c r="L24" s="36"/>
      <c r="M24" s="36" t="s">
        <v>450</v>
      </c>
      <c r="N24" s="18" t="s">
        <v>450</v>
      </c>
      <c r="O24" s="33"/>
    </row>
    <row r="25" spans="1:17" ht="17" customHeight="1" x14ac:dyDescent="0.35">
      <c r="A25" s="17">
        <v>25</v>
      </c>
      <c r="B25" s="17" t="s">
        <v>203</v>
      </c>
      <c r="C25" s="15">
        <v>13.2</v>
      </c>
      <c r="D25" s="22">
        <v>5</v>
      </c>
      <c r="E25" s="22" t="s">
        <v>422</v>
      </c>
      <c r="F25" s="20">
        <v>13.2</v>
      </c>
      <c r="G25" s="22">
        <v>42997</v>
      </c>
      <c r="H25" s="20">
        <v>13.2</v>
      </c>
      <c r="I25" s="23" t="s">
        <v>270</v>
      </c>
      <c r="J25" s="23" t="s">
        <v>271</v>
      </c>
      <c r="K25" s="22" t="s">
        <v>102</v>
      </c>
      <c r="L25" s="23" t="s">
        <v>102</v>
      </c>
      <c r="M25" s="23" t="s">
        <v>442</v>
      </c>
      <c r="N25" s="18" t="s">
        <v>442</v>
      </c>
      <c r="O25" s="17">
        <v>30</v>
      </c>
      <c r="P25" s="18">
        <v>30</v>
      </c>
      <c r="Q25" s="50">
        <v>1</v>
      </c>
    </row>
    <row r="26" spans="1:17" ht="17" customHeight="1" x14ac:dyDescent="0.35">
      <c r="A26" s="17">
        <v>26</v>
      </c>
      <c r="B26" s="17" t="s">
        <v>203</v>
      </c>
      <c r="C26" s="15">
        <v>13.2</v>
      </c>
      <c r="D26" s="22">
        <v>6</v>
      </c>
      <c r="E26" s="22" t="s">
        <v>423</v>
      </c>
      <c r="F26" s="20">
        <v>13.2</v>
      </c>
      <c r="G26" s="22">
        <v>43038</v>
      </c>
      <c r="H26" s="20">
        <v>13.2</v>
      </c>
      <c r="I26" s="23" t="s">
        <v>272</v>
      </c>
      <c r="J26" s="23" t="s">
        <v>273</v>
      </c>
      <c r="K26" s="22" t="s">
        <v>105</v>
      </c>
      <c r="L26" s="23" t="s">
        <v>409</v>
      </c>
      <c r="M26" s="23" t="s">
        <v>441</v>
      </c>
      <c r="N26" s="18" t="s">
        <v>441</v>
      </c>
      <c r="O26" s="17">
        <v>-6</v>
      </c>
      <c r="P26" s="18">
        <v>24</v>
      </c>
      <c r="Q26" s="50">
        <v>0.8</v>
      </c>
    </row>
    <row r="27" spans="1:17" ht="17" customHeight="1" x14ac:dyDescent="0.35">
      <c r="A27" s="17">
        <v>27</v>
      </c>
      <c r="B27" s="17" t="s">
        <v>204</v>
      </c>
      <c r="C27" s="15">
        <v>13.2</v>
      </c>
      <c r="D27" s="22">
        <v>7</v>
      </c>
      <c r="E27" s="22" t="s">
        <v>424</v>
      </c>
      <c r="F27" s="20">
        <v>13.2</v>
      </c>
      <c r="G27" s="22">
        <v>43049</v>
      </c>
      <c r="H27" s="20">
        <v>13.2</v>
      </c>
      <c r="I27" s="23" t="s">
        <v>274</v>
      </c>
      <c r="J27" s="23" t="s">
        <v>275</v>
      </c>
      <c r="K27" s="22" t="s">
        <v>108</v>
      </c>
      <c r="L27" s="23" t="s">
        <v>408</v>
      </c>
      <c r="M27" s="23" t="s">
        <v>439</v>
      </c>
      <c r="N27" s="18" t="s">
        <v>439</v>
      </c>
      <c r="O27" s="17">
        <v>30</v>
      </c>
      <c r="P27" s="18">
        <v>30</v>
      </c>
      <c r="Q27" s="50">
        <v>1</v>
      </c>
    </row>
    <row r="28" spans="1:17" ht="17" customHeight="1" x14ac:dyDescent="0.35">
      <c r="A28" s="17">
        <v>28</v>
      </c>
      <c r="B28" s="17" t="s">
        <v>204</v>
      </c>
      <c r="C28" s="15">
        <v>13.2</v>
      </c>
      <c r="D28" s="22">
        <v>8</v>
      </c>
      <c r="E28" s="22" t="s">
        <v>425</v>
      </c>
      <c r="F28" s="20">
        <v>13.2</v>
      </c>
      <c r="G28" s="22">
        <v>43061</v>
      </c>
      <c r="H28" s="20">
        <v>13.2</v>
      </c>
      <c r="I28" s="23" t="s">
        <v>276</v>
      </c>
      <c r="J28" s="23" t="s">
        <v>277</v>
      </c>
      <c r="K28" s="22" t="s">
        <v>111</v>
      </c>
      <c r="L28" s="23" t="s">
        <v>405</v>
      </c>
      <c r="M28" s="23" t="s">
        <v>451</v>
      </c>
      <c r="N28" s="18" t="s">
        <v>451</v>
      </c>
      <c r="O28" s="17">
        <v>30</v>
      </c>
      <c r="P28" s="18">
        <v>30</v>
      </c>
      <c r="Q28" s="50">
        <v>1</v>
      </c>
    </row>
    <row r="29" spans="1:17" ht="17" customHeight="1" x14ac:dyDescent="0.35">
      <c r="A29" s="17">
        <v>29</v>
      </c>
      <c r="B29" s="17" t="s">
        <v>204</v>
      </c>
      <c r="C29" s="15">
        <v>13.2</v>
      </c>
      <c r="D29" s="22">
        <v>9</v>
      </c>
      <c r="E29" s="22" t="s">
        <v>426</v>
      </c>
      <c r="F29" s="20">
        <v>13.2</v>
      </c>
      <c r="G29" s="22">
        <v>43071</v>
      </c>
      <c r="H29" s="20">
        <v>13.2</v>
      </c>
      <c r="I29" s="23" t="s">
        <v>278</v>
      </c>
      <c r="J29" s="23" t="s">
        <v>279</v>
      </c>
      <c r="K29" s="22" t="s">
        <v>114</v>
      </c>
      <c r="L29" s="20"/>
      <c r="M29" s="20" t="s">
        <v>443</v>
      </c>
      <c r="N29" s="18" t="s">
        <v>443</v>
      </c>
      <c r="O29" s="17">
        <v>30</v>
      </c>
      <c r="P29" s="18">
        <v>30</v>
      </c>
      <c r="Q29" s="50">
        <v>1</v>
      </c>
    </row>
    <row r="30" spans="1:17" ht="17" customHeight="1" x14ac:dyDescent="0.35">
      <c r="A30" s="17">
        <v>30</v>
      </c>
      <c r="B30" s="17" t="s">
        <v>204</v>
      </c>
      <c r="C30" s="15">
        <v>13.2</v>
      </c>
      <c r="D30" s="22">
        <v>10</v>
      </c>
      <c r="E30" s="22" t="s">
        <v>427</v>
      </c>
      <c r="F30" s="20">
        <v>13.2</v>
      </c>
      <c r="G30" s="22">
        <v>43182</v>
      </c>
      <c r="H30" s="20">
        <v>13.2</v>
      </c>
      <c r="I30" s="23" t="s">
        <v>280</v>
      </c>
      <c r="J30" s="23" t="s">
        <v>281</v>
      </c>
      <c r="K30" s="22" t="s">
        <v>117</v>
      </c>
      <c r="L30" s="20"/>
      <c r="M30" s="20" t="s">
        <v>452</v>
      </c>
      <c r="N30" s="18" t="s">
        <v>452</v>
      </c>
      <c r="O30" s="17">
        <v>-4</v>
      </c>
      <c r="P30" s="18">
        <v>26</v>
      </c>
      <c r="Q30" s="50">
        <v>0.86699999999999999</v>
      </c>
    </row>
    <row r="31" spans="1:17" ht="17" customHeight="1" x14ac:dyDescent="0.35">
      <c r="A31" s="17">
        <v>31</v>
      </c>
      <c r="B31" s="17" t="s">
        <v>205</v>
      </c>
      <c r="C31" s="15">
        <v>13.2</v>
      </c>
      <c r="D31" s="22">
        <v>11</v>
      </c>
      <c r="E31" s="22" t="s">
        <v>428</v>
      </c>
      <c r="F31" s="20">
        <v>13.2</v>
      </c>
      <c r="G31" s="22">
        <v>43224</v>
      </c>
      <c r="H31" s="20">
        <v>13.2</v>
      </c>
      <c r="I31" s="23" t="s">
        <v>282</v>
      </c>
      <c r="J31" s="23" t="s">
        <v>283</v>
      </c>
      <c r="K31" s="22" t="s">
        <v>120</v>
      </c>
      <c r="L31" s="23" t="s">
        <v>404</v>
      </c>
      <c r="M31" s="23" t="s">
        <v>453</v>
      </c>
      <c r="N31" s="18" t="s">
        <v>453</v>
      </c>
      <c r="O31" s="17">
        <v>-4</v>
      </c>
      <c r="P31" s="18">
        <v>26</v>
      </c>
      <c r="Q31" s="50">
        <v>0.86699999999999999</v>
      </c>
    </row>
    <row r="32" spans="1:17" ht="17" customHeight="1" x14ac:dyDescent="0.35">
      <c r="A32" s="17">
        <v>32</v>
      </c>
      <c r="B32" s="17" t="s">
        <v>205</v>
      </c>
      <c r="C32" s="15">
        <v>13.2</v>
      </c>
      <c r="D32" s="22">
        <v>12</v>
      </c>
      <c r="E32" s="22" t="s">
        <v>429</v>
      </c>
      <c r="F32" s="20">
        <v>13.2</v>
      </c>
      <c r="G32" s="22">
        <v>43251</v>
      </c>
      <c r="H32" s="20">
        <v>13.2</v>
      </c>
      <c r="I32" s="23" t="s">
        <v>284</v>
      </c>
      <c r="J32" s="23" t="s">
        <v>285</v>
      </c>
      <c r="K32" s="22" t="s">
        <v>123</v>
      </c>
      <c r="L32" s="23" t="s">
        <v>123</v>
      </c>
      <c r="M32" s="23" t="s">
        <v>440</v>
      </c>
      <c r="N32" s="18" t="s">
        <v>440</v>
      </c>
      <c r="O32" s="17">
        <v>30</v>
      </c>
      <c r="P32" s="18">
        <v>30</v>
      </c>
      <c r="Q32" s="50">
        <v>1</v>
      </c>
    </row>
    <row r="33" spans="1:17" ht="17" customHeight="1" x14ac:dyDescent="0.35">
      <c r="A33" s="17">
        <v>33</v>
      </c>
      <c r="B33" s="17" t="s">
        <v>205</v>
      </c>
      <c r="C33" s="15">
        <v>13.2</v>
      </c>
      <c r="D33" s="22">
        <v>13</v>
      </c>
      <c r="E33" s="22" t="s">
        <v>430</v>
      </c>
      <c r="F33" s="20">
        <v>13.2</v>
      </c>
      <c r="G33" s="22">
        <v>43255</v>
      </c>
      <c r="H33" s="20">
        <v>13.2</v>
      </c>
      <c r="I33" s="23" t="s">
        <v>286</v>
      </c>
      <c r="J33" s="23" t="s">
        <v>287</v>
      </c>
      <c r="K33" s="22" t="s">
        <v>86</v>
      </c>
      <c r="L33" s="23" t="s">
        <v>86</v>
      </c>
      <c r="M33" s="23" t="s">
        <v>454</v>
      </c>
      <c r="N33" s="18" t="s">
        <v>454</v>
      </c>
      <c r="O33" s="17">
        <v>-12</v>
      </c>
      <c r="P33" s="18">
        <v>18</v>
      </c>
      <c r="Q33" s="50">
        <v>0.6</v>
      </c>
    </row>
    <row r="34" spans="1:17" ht="17" customHeight="1" x14ac:dyDescent="0.35">
      <c r="A34" s="33">
        <v>34</v>
      </c>
      <c r="B34" s="33"/>
      <c r="C34" s="33"/>
      <c r="D34" s="35"/>
      <c r="E34" s="35" t="s">
        <v>413</v>
      </c>
      <c r="F34" s="36">
        <v>0</v>
      </c>
      <c r="G34" s="35">
        <v>55555</v>
      </c>
      <c r="H34" s="36">
        <v>0</v>
      </c>
      <c r="I34" s="36" t="s">
        <v>412</v>
      </c>
      <c r="J34" s="36" t="s">
        <v>416</v>
      </c>
      <c r="K34" s="35"/>
      <c r="L34" s="36"/>
      <c r="M34" s="36" t="s">
        <v>445</v>
      </c>
      <c r="N34" s="18" t="s">
        <v>445</v>
      </c>
      <c r="O34" s="33"/>
    </row>
    <row r="35" spans="1:17" ht="17" customHeight="1" x14ac:dyDescent="0.35">
      <c r="A35" s="17">
        <v>35</v>
      </c>
      <c r="B35" s="17" t="s">
        <v>205</v>
      </c>
      <c r="C35" s="15">
        <v>13.2</v>
      </c>
      <c r="D35" s="22">
        <v>14</v>
      </c>
      <c r="E35" s="22" t="s">
        <v>414</v>
      </c>
      <c r="F35" s="20">
        <v>13.2</v>
      </c>
      <c r="G35" s="22">
        <v>43427</v>
      </c>
      <c r="H35" s="20">
        <v>13.2</v>
      </c>
      <c r="I35" s="23" t="s">
        <v>288</v>
      </c>
      <c r="J35" s="23" t="s">
        <v>289</v>
      </c>
      <c r="K35" s="22" t="s">
        <v>166</v>
      </c>
      <c r="L35" s="23" t="s">
        <v>406</v>
      </c>
      <c r="M35" s="23" t="s">
        <v>455</v>
      </c>
      <c r="N35" s="18" t="s">
        <v>455</v>
      </c>
      <c r="O35" s="17">
        <v>-8</v>
      </c>
      <c r="P35" s="18">
        <v>22</v>
      </c>
      <c r="Q35" s="50">
        <v>0.73299999999999998</v>
      </c>
    </row>
    <row r="36" spans="1:17" ht="17" customHeight="1" x14ac:dyDescent="0.35">
      <c r="A36" s="17">
        <v>36</v>
      </c>
      <c r="B36" s="15" t="s">
        <v>206</v>
      </c>
      <c r="C36" s="15">
        <v>14.1</v>
      </c>
      <c r="D36" s="19" t="s">
        <v>152</v>
      </c>
      <c r="E36" s="22" t="s">
        <v>417</v>
      </c>
      <c r="F36" s="20">
        <v>14.1</v>
      </c>
      <c r="G36" s="20">
        <v>14.1</v>
      </c>
      <c r="H36" s="20">
        <v>14.1</v>
      </c>
      <c r="I36" s="20">
        <v>14.1</v>
      </c>
      <c r="J36" s="20" t="s">
        <v>233</v>
      </c>
      <c r="K36" s="19"/>
      <c r="L36" s="20"/>
      <c r="M36" s="20"/>
      <c r="O36" s="15"/>
    </row>
    <row r="37" spans="1:17" ht="17" customHeight="1" x14ac:dyDescent="0.35">
      <c r="A37" s="17">
        <v>37</v>
      </c>
      <c r="B37" s="17" t="s">
        <v>202</v>
      </c>
      <c r="C37" s="15">
        <v>14.1</v>
      </c>
      <c r="D37" s="22">
        <v>1</v>
      </c>
      <c r="E37" s="22" t="s">
        <v>418</v>
      </c>
      <c r="F37" s="20">
        <v>14.1</v>
      </c>
      <c r="G37" s="22">
        <v>42973</v>
      </c>
      <c r="H37" s="20">
        <v>14.1</v>
      </c>
      <c r="I37" s="23" t="s">
        <v>290</v>
      </c>
      <c r="J37" s="23" t="s">
        <v>291</v>
      </c>
      <c r="K37" s="22" t="s">
        <v>44</v>
      </c>
      <c r="L37" s="23" t="s">
        <v>213</v>
      </c>
      <c r="M37" s="23" t="s">
        <v>444</v>
      </c>
      <c r="N37" s="18" t="s">
        <v>444</v>
      </c>
      <c r="O37" s="17">
        <v>-26</v>
      </c>
      <c r="P37" s="18">
        <v>4</v>
      </c>
      <c r="Q37" s="50">
        <v>0.13300000000000001</v>
      </c>
    </row>
    <row r="38" spans="1:17" ht="17" customHeight="1" x14ac:dyDescent="0.35">
      <c r="A38" s="17">
        <v>38</v>
      </c>
      <c r="B38" s="17" t="s">
        <v>202</v>
      </c>
      <c r="C38" s="15">
        <v>14.1</v>
      </c>
      <c r="D38" s="22">
        <v>2</v>
      </c>
      <c r="E38" s="22" t="s">
        <v>419</v>
      </c>
      <c r="F38" s="20">
        <v>14.1</v>
      </c>
      <c r="G38" s="22">
        <v>42983</v>
      </c>
      <c r="H38" s="20">
        <v>14.1</v>
      </c>
      <c r="I38" s="23" t="s">
        <v>292</v>
      </c>
      <c r="J38" s="23" t="s">
        <v>293</v>
      </c>
      <c r="K38" s="22" t="s">
        <v>47</v>
      </c>
      <c r="L38" s="23" t="s">
        <v>47</v>
      </c>
      <c r="M38" s="23" t="s">
        <v>446</v>
      </c>
      <c r="N38" s="18" t="s">
        <v>446</v>
      </c>
      <c r="O38" s="17">
        <v>-1</v>
      </c>
      <c r="P38" s="18">
        <v>29</v>
      </c>
      <c r="Q38" s="50">
        <v>0.96699999999999997</v>
      </c>
    </row>
    <row r="39" spans="1:17" ht="17" customHeight="1" x14ac:dyDescent="0.35">
      <c r="A39" s="17">
        <v>39</v>
      </c>
      <c r="B39" s="17" t="s">
        <v>202</v>
      </c>
      <c r="C39" s="15">
        <v>14.1</v>
      </c>
      <c r="D39" s="22">
        <v>3</v>
      </c>
      <c r="E39" s="22" t="s">
        <v>420</v>
      </c>
      <c r="F39" s="20">
        <v>14.1</v>
      </c>
      <c r="G39" s="22">
        <v>42998</v>
      </c>
      <c r="H39" s="20">
        <v>14.1</v>
      </c>
      <c r="I39" s="23" t="s">
        <v>294</v>
      </c>
      <c r="J39" s="23" t="s">
        <v>295</v>
      </c>
      <c r="K39" s="19" t="s">
        <v>212</v>
      </c>
      <c r="L39" s="23" t="s">
        <v>212</v>
      </c>
      <c r="M39" s="23" t="s">
        <v>447</v>
      </c>
      <c r="N39" s="18" t="s">
        <v>447</v>
      </c>
      <c r="O39" s="17">
        <v>-15</v>
      </c>
      <c r="P39" s="18">
        <v>15</v>
      </c>
      <c r="Q39" s="50">
        <v>0.5</v>
      </c>
    </row>
    <row r="40" spans="1:17" ht="17" customHeight="1" x14ac:dyDescent="0.35">
      <c r="A40" s="17">
        <v>40</v>
      </c>
      <c r="B40" s="17" t="s">
        <v>203</v>
      </c>
      <c r="C40" s="15">
        <v>14.1</v>
      </c>
      <c r="D40" s="22">
        <v>4</v>
      </c>
      <c r="E40" s="22" t="s">
        <v>421</v>
      </c>
      <c r="F40" s="20">
        <v>14.1</v>
      </c>
      <c r="G40" s="22">
        <v>42999</v>
      </c>
      <c r="H40" s="20">
        <v>14.1</v>
      </c>
      <c r="I40" s="23" t="s">
        <v>296</v>
      </c>
      <c r="J40" s="23" t="s">
        <v>297</v>
      </c>
      <c r="K40" s="22" t="s">
        <v>53</v>
      </c>
      <c r="L40" s="23" t="s">
        <v>211</v>
      </c>
      <c r="M40" s="23" t="s">
        <v>448</v>
      </c>
      <c r="N40" s="18" t="s">
        <v>448</v>
      </c>
      <c r="O40" s="17">
        <v>-8</v>
      </c>
      <c r="P40" s="18">
        <v>22</v>
      </c>
      <c r="Q40" s="50">
        <v>0.73299999999999998</v>
      </c>
    </row>
    <row r="41" spans="1:17" ht="17" customHeight="1" x14ac:dyDescent="0.35">
      <c r="A41" s="33">
        <v>41</v>
      </c>
      <c r="B41" s="33"/>
      <c r="C41" s="33"/>
      <c r="D41" s="35"/>
      <c r="E41" s="35" t="s">
        <v>411</v>
      </c>
      <c r="F41" s="36">
        <v>0</v>
      </c>
      <c r="G41" s="35">
        <v>55555</v>
      </c>
      <c r="H41" s="36">
        <v>0</v>
      </c>
      <c r="I41" s="36" t="s">
        <v>412</v>
      </c>
      <c r="J41" s="36" t="s">
        <v>416</v>
      </c>
      <c r="K41" s="35"/>
      <c r="L41" s="36"/>
      <c r="M41" s="36" t="s">
        <v>449</v>
      </c>
      <c r="N41" s="18" t="s">
        <v>449</v>
      </c>
      <c r="O41" s="33"/>
    </row>
    <row r="42" spans="1:17" ht="17" customHeight="1" x14ac:dyDescent="0.35">
      <c r="A42" s="17">
        <v>42</v>
      </c>
      <c r="B42" s="17" t="s">
        <v>203</v>
      </c>
      <c r="C42" s="15">
        <v>14.1</v>
      </c>
      <c r="D42" s="22">
        <v>5</v>
      </c>
      <c r="E42" s="22" t="s">
        <v>422</v>
      </c>
      <c r="F42" s="20">
        <v>14.1</v>
      </c>
      <c r="G42" s="22">
        <v>43023</v>
      </c>
      <c r="H42" s="20">
        <v>14.1</v>
      </c>
      <c r="I42" s="23" t="s">
        <v>298</v>
      </c>
      <c r="J42" s="23" t="s">
        <v>299</v>
      </c>
      <c r="K42" s="22" t="s">
        <v>56</v>
      </c>
      <c r="L42" s="23" t="s">
        <v>219</v>
      </c>
      <c r="M42" s="23" t="s">
        <v>450</v>
      </c>
      <c r="N42" s="18" t="s">
        <v>450</v>
      </c>
      <c r="O42" s="17">
        <v>-3</v>
      </c>
      <c r="P42" s="18">
        <v>27</v>
      </c>
      <c r="Q42" s="50">
        <v>0.9</v>
      </c>
    </row>
    <row r="43" spans="1:17" ht="17" customHeight="1" x14ac:dyDescent="0.35">
      <c r="A43" s="17">
        <v>43</v>
      </c>
      <c r="B43" s="17" t="s">
        <v>203</v>
      </c>
      <c r="C43" s="15">
        <v>14.1</v>
      </c>
      <c r="D43" s="22">
        <v>6</v>
      </c>
      <c r="E43" s="22" t="s">
        <v>423</v>
      </c>
      <c r="F43" s="20">
        <v>14.1</v>
      </c>
      <c r="G43" s="22">
        <v>43032</v>
      </c>
      <c r="H43" s="20">
        <v>14.1</v>
      </c>
      <c r="I43" s="23" t="s">
        <v>300</v>
      </c>
      <c r="J43" s="23" t="s">
        <v>301</v>
      </c>
      <c r="K43" s="22" t="s">
        <v>59</v>
      </c>
      <c r="L43" s="23" t="s">
        <v>220</v>
      </c>
      <c r="M43" s="23" t="s">
        <v>442</v>
      </c>
      <c r="N43" s="18" t="s">
        <v>442</v>
      </c>
      <c r="O43" s="37"/>
    </row>
    <row r="44" spans="1:17" ht="17" customHeight="1" x14ac:dyDescent="0.35">
      <c r="A44" s="17">
        <v>44</v>
      </c>
      <c r="B44" s="17" t="s">
        <v>204</v>
      </c>
      <c r="C44" s="15">
        <v>14.1</v>
      </c>
      <c r="D44" s="22">
        <v>7</v>
      </c>
      <c r="E44" s="22" t="s">
        <v>424</v>
      </c>
      <c r="F44" s="20">
        <v>14.1</v>
      </c>
      <c r="G44" s="22">
        <v>43034</v>
      </c>
      <c r="H44" s="20">
        <v>14.1</v>
      </c>
      <c r="I44" s="23" t="s">
        <v>302</v>
      </c>
      <c r="J44" s="23" t="s">
        <v>303</v>
      </c>
      <c r="K44" s="22" t="s">
        <v>62</v>
      </c>
      <c r="L44" s="23" t="s">
        <v>210</v>
      </c>
      <c r="M44" s="23" t="s">
        <v>441</v>
      </c>
      <c r="N44" s="18" t="s">
        <v>441</v>
      </c>
      <c r="O44" s="17">
        <v>-18</v>
      </c>
      <c r="P44" s="18">
        <v>12</v>
      </c>
      <c r="Q44" s="50">
        <v>0.4</v>
      </c>
    </row>
    <row r="45" spans="1:17" ht="17" customHeight="1" x14ac:dyDescent="0.35">
      <c r="A45" s="17">
        <v>45</v>
      </c>
      <c r="B45" s="17" t="s">
        <v>204</v>
      </c>
      <c r="C45" s="15">
        <v>14.1</v>
      </c>
      <c r="D45" s="22">
        <v>8</v>
      </c>
      <c r="E45" s="22" t="s">
        <v>425</v>
      </c>
      <c r="F45" s="20">
        <v>14.1</v>
      </c>
      <c r="G45" s="22">
        <v>43056</v>
      </c>
      <c r="H45" s="20">
        <v>14.1</v>
      </c>
      <c r="I45" s="23" t="s">
        <v>304</v>
      </c>
      <c r="J45" s="23" t="s">
        <v>305</v>
      </c>
      <c r="K45" s="22" t="s">
        <v>65</v>
      </c>
      <c r="L45" s="23" t="s">
        <v>218</v>
      </c>
      <c r="M45" s="23" t="s">
        <v>439</v>
      </c>
      <c r="N45" s="18" t="s">
        <v>439</v>
      </c>
      <c r="O45" s="17">
        <v>-7</v>
      </c>
      <c r="P45" s="18">
        <v>23</v>
      </c>
      <c r="Q45" s="50">
        <v>0.76700000000000002</v>
      </c>
    </row>
    <row r="46" spans="1:17" ht="17" customHeight="1" x14ac:dyDescent="0.35">
      <c r="A46" s="17">
        <v>46</v>
      </c>
      <c r="B46" s="17" t="s">
        <v>204</v>
      </c>
      <c r="C46" s="15">
        <v>14.1</v>
      </c>
      <c r="D46" s="22">
        <v>9</v>
      </c>
      <c r="E46" s="22" t="s">
        <v>426</v>
      </c>
      <c r="F46" s="20">
        <v>14.1</v>
      </c>
      <c r="G46" s="22">
        <v>44558</v>
      </c>
      <c r="H46" s="20">
        <v>14.1</v>
      </c>
      <c r="I46" s="23" t="s">
        <v>306</v>
      </c>
      <c r="J46" s="23" t="s">
        <v>307</v>
      </c>
      <c r="K46" s="22" t="s">
        <v>68</v>
      </c>
      <c r="L46" s="23" t="s">
        <v>214</v>
      </c>
      <c r="M46" s="23" t="s">
        <v>451</v>
      </c>
      <c r="N46" s="18" t="s">
        <v>451</v>
      </c>
      <c r="O46" s="17">
        <v>-2</v>
      </c>
      <c r="P46" s="18">
        <v>28</v>
      </c>
      <c r="Q46" s="50">
        <v>0.93300000000000005</v>
      </c>
    </row>
    <row r="47" spans="1:17" ht="17" customHeight="1" x14ac:dyDescent="0.35">
      <c r="A47" s="17">
        <v>47</v>
      </c>
      <c r="B47" s="17" t="s">
        <v>204</v>
      </c>
      <c r="C47" s="15">
        <v>14.1</v>
      </c>
      <c r="D47" s="22">
        <v>10</v>
      </c>
      <c r="E47" s="22" t="s">
        <v>427</v>
      </c>
      <c r="F47" s="20">
        <v>14.1</v>
      </c>
      <c r="G47" s="22">
        <v>44563</v>
      </c>
      <c r="H47" s="20">
        <v>14.1</v>
      </c>
      <c r="I47" s="23" t="s">
        <v>217</v>
      </c>
      <c r="J47" s="23" t="s">
        <v>308</v>
      </c>
      <c r="K47" s="22" t="s">
        <v>71</v>
      </c>
      <c r="L47" s="23" t="s">
        <v>217</v>
      </c>
      <c r="M47" s="23" t="s">
        <v>443</v>
      </c>
      <c r="N47" s="18" t="s">
        <v>443</v>
      </c>
      <c r="O47" s="17">
        <v>30</v>
      </c>
      <c r="P47" s="18">
        <v>30</v>
      </c>
      <c r="Q47" s="50">
        <v>1</v>
      </c>
    </row>
    <row r="48" spans="1:17" ht="17" customHeight="1" x14ac:dyDescent="0.35">
      <c r="A48" s="17">
        <v>48</v>
      </c>
      <c r="B48" s="17" t="s">
        <v>204</v>
      </c>
      <c r="C48" s="15">
        <v>14.1</v>
      </c>
      <c r="D48" s="22">
        <v>11</v>
      </c>
      <c r="E48" s="22" t="s">
        <v>428</v>
      </c>
      <c r="F48" s="20">
        <v>14.1</v>
      </c>
      <c r="G48" s="22">
        <v>44589</v>
      </c>
      <c r="H48" s="20">
        <v>14.1</v>
      </c>
      <c r="I48" s="23" t="s">
        <v>309</v>
      </c>
      <c r="J48" s="23" t="s">
        <v>310</v>
      </c>
      <c r="K48" s="22" t="s">
        <v>74</v>
      </c>
      <c r="L48" s="23" t="s">
        <v>215</v>
      </c>
      <c r="M48" s="23" t="s">
        <v>452</v>
      </c>
      <c r="N48" s="18" t="s">
        <v>452</v>
      </c>
      <c r="O48" s="17">
        <v>-23</v>
      </c>
      <c r="P48" s="18">
        <v>7</v>
      </c>
      <c r="Q48" s="50">
        <v>0.23300000000000001</v>
      </c>
    </row>
    <row r="49" spans="1:17" ht="17" customHeight="1" x14ac:dyDescent="0.35">
      <c r="A49" s="17">
        <v>49</v>
      </c>
      <c r="B49" s="17" t="s">
        <v>205</v>
      </c>
      <c r="C49" s="15">
        <v>14.1</v>
      </c>
      <c r="D49" s="22">
        <v>12</v>
      </c>
      <c r="E49" s="22" t="s">
        <v>429</v>
      </c>
      <c r="F49" s="20">
        <v>14.1</v>
      </c>
      <c r="G49" s="22">
        <v>45165</v>
      </c>
      <c r="H49" s="20">
        <v>14.1</v>
      </c>
      <c r="I49" s="23" t="s">
        <v>311</v>
      </c>
      <c r="J49" s="23" t="s">
        <v>312</v>
      </c>
      <c r="K49" s="22" t="s">
        <v>77</v>
      </c>
      <c r="L49" s="23" t="s">
        <v>77</v>
      </c>
      <c r="M49" s="23" t="s">
        <v>453</v>
      </c>
      <c r="N49" s="18" t="s">
        <v>453</v>
      </c>
      <c r="O49" s="17">
        <v>-3</v>
      </c>
      <c r="P49" s="18">
        <v>27</v>
      </c>
      <c r="Q49" s="50">
        <v>0.9</v>
      </c>
    </row>
    <row r="50" spans="1:17" ht="17" customHeight="1" x14ac:dyDescent="0.35">
      <c r="A50" s="17">
        <v>50</v>
      </c>
      <c r="B50" s="17" t="s">
        <v>205</v>
      </c>
      <c r="C50" s="15">
        <v>14.1</v>
      </c>
      <c r="D50" s="22">
        <v>13</v>
      </c>
      <c r="E50" s="22" t="s">
        <v>430</v>
      </c>
      <c r="F50" s="20">
        <v>14.1</v>
      </c>
      <c r="G50" s="22">
        <v>45875</v>
      </c>
      <c r="H50" s="20">
        <v>14.1</v>
      </c>
      <c r="I50" s="23" t="s">
        <v>313</v>
      </c>
      <c r="J50" s="23" t="s">
        <v>314</v>
      </c>
      <c r="K50" s="22" t="s">
        <v>80</v>
      </c>
      <c r="L50" s="23" t="s">
        <v>80</v>
      </c>
      <c r="M50" s="23" t="s">
        <v>440</v>
      </c>
      <c r="N50" s="18" t="s">
        <v>440</v>
      </c>
      <c r="O50" s="17">
        <v>-23</v>
      </c>
      <c r="P50" s="18">
        <v>7</v>
      </c>
      <c r="Q50" s="50">
        <v>0.23300000000000001</v>
      </c>
    </row>
    <row r="51" spans="1:17" ht="17" customHeight="1" x14ac:dyDescent="0.35">
      <c r="A51" s="33">
        <v>51</v>
      </c>
      <c r="B51" s="33"/>
      <c r="C51" s="33"/>
      <c r="D51" s="35"/>
      <c r="E51" s="35" t="s">
        <v>413</v>
      </c>
      <c r="F51" s="36">
        <v>0</v>
      </c>
      <c r="G51" s="35">
        <v>55555</v>
      </c>
      <c r="H51" s="36">
        <v>0</v>
      </c>
      <c r="I51" s="36" t="s">
        <v>412</v>
      </c>
      <c r="J51" s="36" t="s">
        <v>416</v>
      </c>
      <c r="K51" s="35"/>
      <c r="L51" s="36"/>
      <c r="M51" s="36" t="s">
        <v>454</v>
      </c>
      <c r="N51" s="18" t="s">
        <v>454</v>
      </c>
      <c r="O51" s="33"/>
    </row>
    <row r="52" spans="1:17" ht="17" customHeight="1" x14ac:dyDescent="0.35">
      <c r="A52" s="17">
        <v>52</v>
      </c>
      <c r="B52" s="17" t="s">
        <v>205</v>
      </c>
      <c r="C52" s="15">
        <v>14.1</v>
      </c>
      <c r="D52" s="22">
        <v>14</v>
      </c>
      <c r="E52" s="17" t="s">
        <v>414</v>
      </c>
      <c r="F52" s="20">
        <v>14.1</v>
      </c>
      <c r="G52" s="22">
        <v>45892</v>
      </c>
      <c r="H52" s="20">
        <v>14.1</v>
      </c>
      <c r="I52" s="23" t="s">
        <v>315</v>
      </c>
      <c r="J52" s="23" t="s">
        <v>316</v>
      </c>
      <c r="K52" s="22" t="s">
        <v>83</v>
      </c>
      <c r="L52" s="22" t="s">
        <v>83</v>
      </c>
      <c r="M52" s="22" t="s">
        <v>445</v>
      </c>
      <c r="N52" s="18" t="s">
        <v>445</v>
      </c>
      <c r="O52" s="17">
        <v>17</v>
      </c>
      <c r="P52" s="18">
        <v>17</v>
      </c>
      <c r="Q52" s="50">
        <v>0.56699999999999995</v>
      </c>
    </row>
    <row r="53" spans="1:17" ht="17" customHeight="1" x14ac:dyDescent="0.35">
      <c r="A53" s="17">
        <v>53</v>
      </c>
      <c r="B53" s="17" t="s">
        <v>205</v>
      </c>
      <c r="C53" s="15">
        <v>14.1</v>
      </c>
      <c r="D53" s="22">
        <v>15</v>
      </c>
      <c r="E53" s="17" t="s">
        <v>415</v>
      </c>
      <c r="F53" s="20">
        <v>14.1</v>
      </c>
      <c r="G53" s="22">
        <v>46491</v>
      </c>
      <c r="H53" s="20">
        <v>14.1</v>
      </c>
      <c r="I53" s="23" t="s">
        <v>317</v>
      </c>
      <c r="J53" s="23" t="s">
        <v>318</v>
      </c>
      <c r="K53" s="22" t="s">
        <v>86</v>
      </c>
      <c r="L53" s="23" t="s">
        <v>216</v>
      </c>
      <c r="M53" s="23" t="s">
        <v>455</v>
      </c>
      <c r="N53" s="18" t="s">
        <v>455</v>
      </c>
      <c r="O53" s="17">
        <v>-7</v>
      </c>
      <c r="P53" s="18">
        <v>23</v>
      </c>
      <c r="Q53" s="50">
        <v>0.76700000000000002</v>
      </c>
    </row>
    <row r="54" spans="1:17" ht="17" customHeight="1" x14ac:dyDescent="0.35">
      <c r="A54" s="17">
        <v>54</v>
      </c>
      <c r="B54" s="15" t="s">
        <v>208</v>
      </c>
      <c r="C54" s="15">
        <v>15.3</v>
      </c>
      <c r="D54" s="24" t="s">
        <v>195</v>
      </c>
      <c r="E54" s="15" t="s">
        <v>417</v>
      </c>
      <c r="F54" s="20">
        <v>15.3</v>
      </c>
      <c r="G54" s="20">
        <v>15.3</v>
      </c>
      <c r="H54" s="20">
        <v>15.3</v>
      </c>
      <c r="I54" s="20">
        <v>15.3</v>
      </c>
      <c r="J54" s="20" t="s">
        <v>233</v>
      </c>
      <c r="K54" s="19"/>
      <c r="L54" s="20"/>
      <c r="M54" s="20"/>
      <c r="O54" s="15"/>
    </row>
    <row r="55" spans="1:17" ht="17" customHeight="1" x14ac:dyDescent="0.35">
      <c r="A55" s="17">
        <v>55</v>
      </c>
      <c r="B55" s="17" t="s">
        <v>202</v>
      </c>
      <c r="C55" s="15">
        <v>15.3</v>
      </c>
      <c r="D55" s="25">
        <v>1</v>
      </c>
      <c r="E55" s="22" t="s">
        <v>418</v>
      </c>
      <c r="F55" s="20">
        <v>15.3</v>
      </c>
      <c r="G55" s="26">
        <v>43162</v>
      </c>
      <c r="H55" s="20">
        <v>15.3</v>
      </c>
      <c r="I55" s="23" t="s">
        <v>319</v>
      </c>
      <c r="J55" s="23" t="s">
        <v>320</v>
      </c>
      <c r="K55" s="25" t="s">
        <v>196</v>
      </c>
      <c r="L55" s="23" t="s">
        <v>396</v>
      </c>
      <c r="M55" s="23" t="s">
        <v>444</v>
      </c>
      <c r="N55" s="18" t="s">
        <v>444</v>
      </c>
      <c r="O55" s="17">
        <v>-7</v>
      </c>
      <c r="P55" s="18">
        <v>23</v>
      </c>
      <c r="Q55" s="50">
        <v>0.76700000000000002</v>
      </c>
    </row>
    <row r="56" spans="1:17" ht="17" customHeight="1" x14ac:dyDescent="0.35">
      <c r="A56" s="17">
        <v>56</v>
      </c>
      <c r="B56" s="17" t="s">
        <v>202</v>
      </c>
      <c r="C56" s="15">
        <v>15.3</v>
      </c>
      <c r="D56" s="25">
        <v>2</v>
      </c>
      <c r="E56" s="22" t="s">
        <v>419</v>
      </c>
      <c r="F56" s="20">
        <v>15.3</v>
      </c>
      <c r="G56" s="25">
        <v>43172</v>
      </c>
      <c r="H56" s="20">
        <v>15.3</v>
      </c>
      <c r="I56" s="23" t="s">
        <v>321</v>
      </c>
      <c r="J56" s="23" t="s">
        <v>322</v>
      </c>
      <c r="K56" s="25" t="s">
        <v>197</v>
      </c>
      <c r="L56" s="23" t="s">
        <v>389</v>
      </c>
      <c r="M56" s="23" t="s">
        <v>446</v>
      </c>
      <c r="N56" s="18" t="s">
        <v>446</v>
      </c>
      <c r="O56" s="17">
        <v>-4</v>
      </c>
      <c r="P56" s="18">
        <v>26</v>
      </c>
      <c r="Q56" s="50">
        <v>0.86699999999999999</v>
      </c>
    </row>
    <row r="57" spans="1:17" ht="17" customHeight="1" x14ac:dyDescent="0.35">
      <c r="A57" s="17">
        <v>57</v>
      </c>
      <c r="B57" s="17" t="s">
        <v>202</v>
      </c>
      <c r="C57" s="15">
        <v>15.3</v>
      </c>
      <c r="D57" s="25">
        <v>3</v>
      </c>
      <c r="E57" s="22" t="s">
        <v>420</v>
      </c>
      <c r="F57" s="20">
        <v>15.3</v>
      </c>
      <c r="G57" s="25">
        <v>43225</v>
      </c>
      <c r="H57" s="20">
        <v>15.3</v>
      </c>
      <c r="I57" s="23" t="s">
        <v>323</v>
      </c>
      <c r="J57" s="23" t="s">
        <v>324</v>
      </c>
      <c r="K57" s="25" t="s">
        <v>186</v>
      </c>
      <c r="L57" s="23" t="s">
        <v>384</v>
      </c>
      <c r="M57" s="23" t="s">
        <v>447</v>
      </c>
      <c r="N57" s="18" t="s">
        <v>447</v>
      </c>
      <c r="O57" s="17">
        <v>-22</v>
      </c>
      <c r="P57" s="18">
        <v>8</v>
      </c>
      <c r="Q57" s="50">
        <v>0.26700000000000002</v>
      </c>
    </row>
    <row r="58" spans="1:17" ht="17" customHeight="1" x14ac:dyDescent="0.35">
      <c r="A58" s="17">
        <v>58</v>
      </c>
      <c r="B58" s="17" t="s">
        <v>203</v>
      </c>
      <c r="C58" s="15">
        <v>15.3</v>
      </c>
      <c r="D58" s="27">
        <v>4</v>
      </c>
      <c r="E58" s="22" t="s">
        <v>421</v>
      </c>
      <c r="F58" s="20">
        <v>15.3</v>
      </c>
      <c r="G58" s="25">
        <v>43245</v>
      </c>
      <c r="H58" s="20">
        <v>15.3</v>
      </c>
      <c r="I58" s="23" t="s">
        <v>59</v>
      </c>
      <c r="J58" s="23" t="s">
        <v>325</v>
      </c>
      <c r="K58" s="25" t="s">
        <v>188</v>
      </c>
      <c r="L58" s="23" t="s">
        <v>392</v>
      </c>
      <c r="M58" s="23" t="s">
        <v>448</v>
      </c>
      <c r="N58" s="18" t="s">
        <v>448</v>
      </c>
      <c r="O58" s="17">
        <v>-10</v>
      </c>
      <c r="P58" s="18">
        <v>20</v>
      </c>
      <c r="Q58" s="50">
        <v>0.66700000000000004</v>
      </c>
    </row>
    <row r="59" spans="1:17" ht="17" customHeight="1" x14ac:dyDescent="0.35">
      <c r="A59" s="33">
        <v>59</v>
      </c>
      <c r="B59" s="33"/>
      <c r="C59" s="33"/>
      <c r="D59" s="43"/>
      <c r="E59" s="35" t="s">
        <v>411</v>
      </c>
      <c r="F59" s="36">
        <v>0</v>
      </c>
      <c r="G59" s="35">
        <v>55555</v>
      </c>
      <c r="H59" s="36">
        <v>0</v>
      </c>
      <c r="I59" s="36" t="s">
        <v>412</v>
      </c>
      <c r="J59" s="36" t="s">
        <v>416</v>
      </c>
      <c r="K59" s="45"/>
      <c r="L59" s="36"/>
      <c r="M59" s="36" t="s">
        <v>449</v>
      </c>
      <c r="N59" s="18" t="s">
        <v>449</v>
      </c>
      <c r="O59" s="33"/>
    </row>
    <row r="60" spans="1:17" ht="17" customHeight="1" x14ac:dyDescent="0.35">
      <c r="A60" s="17">
        <v>60</v>
      </c>
      <c r="B60" s="17" t="s">
        <v>203</v>
      </c>
      <c r="C60" s="15">
        <v>15.3</v>
      </c>
      <c r="D60" s="27">
        <v>5</v>
      </c>
      <c r="E60" s="22" t="s">
        <v>422</v>
      </c>
      <c r="F60" s="20">
        <v>15.3</v>
      </c>
      <c r="G60" s="25">
        <v>43249</v>
      </c>
      <c r="H60" s="20">
        <v>15.3</v>
      </c>
      <c r="I60" s="23" t="s">
        <v>326</v>
      </c>
      <c r="J60" s="23" t="s">
        <v>327</v>
      </c>
      <c r="K60" s="27" t="s">
        <v>199</v>
      </c>
      <c r="L60" s="23" t="s">
        <v>390</v>
      </c>
      <c r="M60" s="23" t="s">
        <v>450</v>
      </c>
      <c r="N60" s="18" t="s">
        <v>450</v>
      </c>
      <c r="O60" s="17">
        <v>-3</v>
      </c>
      <c r="P60" s="18">
        <v>27</v>
      </c>
      <c r="Q60" s="50">
        <v>0.9</v>
      </c>
    </row>
    <row r="61" spans="1:17" ht="17" customHeight="1" x14ac:dyDescent="0.35">
      <c r="A61" s="17">
        <v>61</v>
      </c>
      <c r="B61" s="17" t="s">
        <v>203</v>
      </c>
      <c r="C61" s="15">
        <v>15.3</v>
      </c>
      <c r="D61" s="27">
        <v>6</v>
      </c>
      <c r="E61" s="22" t="s">
        <v>423</v>
      </c>
      <c r="F61" s="20">
        <v>15.3</v>
      </c>
      <c r="G61" s="25">
        <v>43261</v>
      </c>
      <c r="H61" s="20">
        <v>15.3</v>
      </c>
      <c r="I61" s="23" t="s">
        <v>328</v>
      </c>
      <c r="J61" s="23" t="s">
        <v>329</v>
      </c>
      <c r="K61" s="25" t="s">
        <v>190</v>
      </c>
      <c r="L61" s="23" t="s">
        <v>385</v>
      </c>
      <c r="M61" s="23" t="s">
        <v>442</v>
      </c>
      <c r="N61" s="18" t="s">
        <v>442</v>
      </c>
      <c r="O61" s="17">
        <v>-7</v>
      </c>
      <c r="P61" s="18">
        <v>23</v>
      </c>
      <c r="Q61" s="50">
        <v>0.76700000000000002</v>
      </c>
    </row>
    <row r="62" spans="1:17" ht="17" customHeight="1" x14ac:dyDescent="0.35">
      <c r="A62" s="17">
        <v>62</v>
      </c>
      <c r="B62" s="17" t="s">
        <v>204</v>
      </c>
      <c r="C62" s="15">
        <v>15.3</v>
      </c>
      <c r="D62" s="27">
        <v>7</v>
      </c>
      <c r="E62" s="22" t="s">
        <v>424</v>
      </c>
      <c r="F62" s="20">
        <v>15.3</v>
      </c>
      <c r="G62" s="27">
        <v>43262</v>
      </c>
      <c r="H62" s="20">
        <v>15.3</v>
      </c>
      <c r="I62" s="23" t="s">
        <v>330</v>
      </c>
      <c r="J62" s="23" t="s">
        <v>331</v>
      </c>
      <c r="K62" s="25" t="s">
        <v>192</v>
      </c>
      <c r="L62" s="23" t="s">
        <v>391</v>
      </c>
      <c r="M62" s="23" t="s">
        <v>441</v>
      </c>
      <c r="N62" s="18" t="s">
        <v>441</v>
      </c>
      <c r="O62" s="17">
        <v>-4</v>
      </c>
      <c r="P62" s="18">
        <v>26</v>
      </c>
      <c r="Q62" s="50">
        <v>0.86699999999999999</v>
      </c>
    </row>
    <row r="63" spans="1:17" ht="17" customHeight="1" x14ac:dyDescent="0.35">
      <c r="A63" s="17">
        <v>63</v>
      </c>
      <c r="B63" s="17" t="s">
        <v>204</v>
      </c>
      <c r="C63" s="15">
        <v>15.3</v>
      </c>
      <c r="D63" s="27">
        <v>8</v>
      </c>
      <c r="E63" s="22" t="s">
        <v>425</v>
      </c>
      <c r="F63" s="20">
        <v>15.3</v>
      </c>
      <c r="G63" s="27">
        <v>43265</v>
      </c>
      <c r="H63" s="20">
        <v>15.3</v>
      </c>
      <c r="I63" s="23" t="s">
        <v>332</v>
      </c>
      <c r="J63" s="23" t="s">
        <v>333</v>
      </c>
      <c r="K63" s="25" t="s">
        <v>194</v>
      </c>
      <c r="L63" s="23" t="s">
        <v>386</v>
      </c>
      <c r="M63" s="23" t="s">
        <v>439</v>
      </c>
      <c r="N63" s="18" t="s">
        <v>439</v>
      </c>
      <c r="O63" s="17">
        <v>-8</v>
      </c>
      <c r="P63" s="18">
        <v>22</v>
      </c>
      <c r="Q63" s="50">
        <v>0.73299999999999998</v>
      </c>
    </row>
    <row r="64" spans="1:17" ht="17" customHeight="1" x14ac:dyDescent="0.35">
      <c r="A64" s="17">
        <v>64</v>
      </c>
      <c r="B64" s="17" t="s">
        <v>204</v>
      </c>
      <c r="C64" s="15">
        <v>15.3</v>
      </c>
      <c r="D64" s="27">
        <v>9</v>
      </c>
      <c r="E64" s="22" t="s">
        <v>426</v>
      </c>
      <c r="F64" s="20">
        <v>15.3</v>
      </c>
      <c r="G64" s="27">
        <v>46953</v>
      </c>
      <c r="H64" s="20">
        <v>15.3</v>
      </c>
      <c r="I64" s="23" t="s">
        <v>349</v>
      </c>
      <c r="J64" s="23" t="s">
        <v>350</v>
      </c>
      <c r="K64" s="19" t="s">
        <v>382</v>
      </c>
      <c r="L64" s="23" t="s">
        <v>349</v>
      </c>
      <c r="M64" s="23" t="s">
        <v>451</v>
      </c>
      <c r="N64" s="18" t="s">
        <v>451</v>
      </c>
      <c r="O64" s="17">
        <v>-2</v>
      </c>
      <c r="P64" s="18">
        <v>28</v>
      </c>
      <c r="Q64" s="50">
        <v>0.93300000000000005</v>
      </c>
    </row>
    <row r="65" spans="1:17" ht="17" customHeight="1" x14ac:dyDescent="0.35">
      <c r="A65" s="17">
        <v>65</v>
      </c>
      <c r="B65" s="17" t="s">
        <v>204</v>
      </c>
      <c r="C65" s="15">
        <v>15.3</v>
      </c>
      <c r="D65" s="27">
        <v>10</v>
      </c>
      <c r="E65" s="22" t="s">
        <v>427</v>
      </c>
      <c r="F65" s="20">
        <v>15.3</v>
      </c>
      <c r="G65" s="27">
        <v>46958</v>
      </c>
      <c r="H65" s="20">
        <v>15.3</v>
      </c>
      <c r="I65" s="23" t="s">
        <v>351</v>
      </c>
      <c r="J65" s="23" t="s">
        <v>352</v>
      </c>
      <c r="K65" s="19" t="s">
        <v>381</v>
      </c>
      <c r="L65" s="23" t="s">
        <v>388</v>
      </c>
      <c r="M65" s="23" t="s">
        <v>443</v>
      </c>
      <c r="N65" s="18" t="s">
        <v>443</v>
      </c>
      <c r="O65" s="17">
        <v>-4</v>
      </c>
      <c r="P65" s="18">
        <v>26</v>
      </c>
      <c r="Q65" s="50">
        <v>0.86699999999999999</v>
      </c>
    </row>
    <row r="66" spans="1:17" ht="17" customHeight="1" x14ac:dyDescent="0.35">
      <c r="A66" s="17">
        <v>66</v>
      </c>
      <c r="B66" s="17" t="s">
        <v>205</v>
      </c>
      <c r="C66" s="15">
        <v>15.3</v>
      </c>
      <c r="D66" s="27">
        <v>11</v>
      </c>
      <c r="E66" s="22" t="s">
        <v>428</v>
      </c>
      <c r="F66" s="20">
        <v>15.3</v>
      </c>
      <c r="G66" s="27">
        <v>47035</v>
      </c>
      <c r="H66" s="20">
        <v>15.3</v>
      </c>
      <c r="I66" s="23" t="s">
        <v>353</v>
      </c>
      <c r="J66" s="23" t="s">
        <v>354</v>
      </c>
      <c r="K66" s="19" t="s">
        <v>380</v>
      </c>
      <c r="L66" s="20"/>
      <c r="M66" s="20" t="s">
        <v>452</v>
      </c>
      <c r="N66" s="18" t="s">
        <v>452</v>
      </c>
      <c r="O66" s="17">
        <v>-22</v>
      </c>
      <c r="P66" s="18">
        <v>8</v>
      </c>
      <c r="Q66" s="50">
        <v>0.26700000000000002</v>
      </c>
    </row>
    <row r="67" spans="1:17" ht="17" customHeight="1" x14ac:dyDescent="0.35">
      <c r="A67" s="17">
        <v>67</v>
      </c>
      <c r="B67" s="17" t="s">
        <v>205</v>
      </c>
      <c r="C67" s="15">
        <v>15.3</v>
      </c>
      <c r="D67" s="27">
        <v>12</v>
      </c>
      <c r="E67" s="22" t="s">
        <v>429</v>
      </c>
      <c r="F67" s="20">
        <v>15.3</v>
      </c>
      <c r="G67" s="27">
        <v>47064</v>
      </c>
      <c r="H67" s="20">
        <v>15.3</v>
      </c>
      <c r="I67" s="23" t="s">
        <v>355</v>
      </c>
      <c r="J67" s="23" t="s">
        <v>356</v>
      </c>
      <c r="K67" s="19" t="s">
        <v>379</v>
      </c>
      <c r="L67" s="23" t="s">
        <v>393</v>
      </c>
      <c r="M67" s="23" t="s">
        <v>453</v>
      </c>
      <c r="N67" s="18" t="s">
        <v>453</v>
      </c>
      <c r="O67" s="17">
        <v>-15</v>
      </c>
      <c r="P67" s="18">
        <v>15</v>
      </c>
      <c r="Q67" s="50">
        <v>0.5</v>
      </c>
    </row>
    <row r="68" spans="1:17" ht="17" customHeight="1" x14ac:dyDescent="0.35">
      <c r="A68" s="17">
        <v>68</v>
      </c>
      <c r="B68" s="17" t="s">
        <v>205</v>
      </c>
      <c r="C68" s="15">
        <v>15.3</v>
      </c>
      <c r="D68" s="27">
        <v>13</v>
      </c>
      <c r="E68" s="22" t="s">
        <v>430</v>
      </c>
      <c r="F68" s="20">
        <v>15.3</v>
      </c>
      <c r="G68" s="28">
        <v>47074</v>
      </c>
      <c r="H68" s="20">
        <v>15.3</v>
      </c>
      <c r="I68" s="23" t="s">
        <v>357</v>
      </c>
      <c r="J68" s="23" t="s">
        <v>358</v>
      </c>
      <c r="K68" s="19" t="s">
        <v>378</v>
      </c>
      <c r="L68" s="23" t="s">
        <v>387</v>
      </c>
      <c r="M68" s="23" t="s">
        <v>440</v>
      </c>
      <c r="N68" s="18" t="s">
        <v>440</v>
      </c>
      <c r="O68" s="17">
        <v>-12</v>
      </c>
      <c r="P68" s="18">
        <v>18</v>
      </c>
      <c r="Q68" s="50">
        <v>0.6</v>
      </c>
    </row>
    <row r="69" spans="1:17" ht="17" customHeight="1" x14ac:dyDescent="0.35">
      <c r="A69" s="33">
        <v>69</v>
      </c>
      <c r="B69" s="33"/>
      <c r="C69" s="33"/>
      <c r="D69" s="43"/>
      <c r="E69" s="35" t="s">
        <v>413</v>
      </c>
      <c r="F69" s="36">
        <v>0</v>
      </c>
      <c r="G69" s="35">
        <v>55555</v>
      </c>
      <c r="H69" s="36">
        <v>0</v>
      </c>
      <c r="I69" s="36" t="s">
        <v>412</v>
      </c>
      <c r="J69" s="36" t="s">
        <v>416</v>
      </c>
      <c r="K69" s="35"/>
      <c r="L69" s="36"/>
      <c r="M69" s="36" t="s">
        <v>454</v>
      </c>
      <c r="N69" s="18" t="s">
        <v>454</v>
      </c>
      <c r="O69" s="33"/>
    </row>
    <row r="70" spans="1:17" ht="17" customHeight="1" x14ac:dyDescent="0.35">
      <c r="A70" s="17">
        <v>70</v>
      </c>
      <c r="B70" s="17" t="s">
        <v>205</v>
      </c>
      <c r="C70" s="15">
        <v>15.3</v>
      </c>
      <c r="D70" s="27">
        <v>14</v>
      </c>
      <c r="E70" s="17" t="s">
        <v>414</v>
      </c>
      <c r="F70" s="20">
        <v>15.3</v>
      </c>
      <c r="G70" s="28">
        <v>47086</v>
      </c>
      <c r="H70" s="20">
        <v>15.3</v>
      </c>
      <c r="I70" s="20" t="s">
        <v>395</v>
      </c>
      <c r="J70" s="20" t="s">
        <v>383</v>
      </c>
      <c r="K70" s="19" t="s">
        <v>377</v>
      </c>
      <c r="L70" s="23" t="s">
        <v>394</v>
      </c>
      <c r="M70" s="23" t="s">
        <v>445</v>
      </c>
      <c r="N70" s="18" t="s">
        <v>445</v>
      </c>
      <c r="O70" s="17">
        <v>-26</v>
      </c>
      <c r="P70" s="18">
        <v>4</v>
      </c>
      <c r="Q70" s="50">
        <v>0.13300000000000001</v>
      </c>
    </row>
    <row r="71" spans="1:17" ht="17" customHeight="1" x14ac:dyDescent="0.35">
      <c r="A71" s="17">
        <v>71</v>
      </c>
      <c r="B71" s="15"/>
      <c r="C71" s="15"/>
      <c r="D71" s="31"/>
      <c r="E71" s="15" t="s">
        <v>417</v>
      </c>
      <c r="F71" s="20">
        <v>16.2</v>
      </c>
      <c r="G71" s="20">
        <v>16.2</v>
      </c>
      <c r="H71" s="20">
        <v>16.2</v>
      </c>
      <c r="I71" s="20">
        <v>16.2</v>
      </c>
      <c r="J71" s="20"/>
      <c r="K71" s="19"/>
      <c r="L71" s="20"/>
      <c r="M71" s="20"/>
      <c r="O71" s="15"/>
    </row>
    <row r="72" spans="1:17" ht="17" customHeight="1" x14ac:dyDescent="0.35">
      <c r="A72" s="17">
        <v>72</v>
      </c>
      <c r="B72" s="33" t="s">
        <v>209</v>
      </c>
      <c r="C72" s="33">
        <v>16.2</v>
      </c>
      <c r="D72" s="34" t="s">
        <v>200</v>
      </c>
      <c r="E72" s="35" t="s">
        <v>418</v>
      </c>
      <c r="F72" s="36">
        <v>16.2</v>
      </c>
      <c r="G72" s="39">
        <v>46948</v>
      </c>
      <c r="H72" s="36">
        <v>16.2</v>
      </c>
      <c r="I72" s="36" t="s">
        <v>398</v>
      </c>
      <c r="J72" s="36" t="s">
        <v>399</v>
      </c>
      <c r="K72" s="35" t="s">
        <v>397</v>
      </c>
      <c r="L72" s="36" t="s">
        <v>397</v>
      </c>
      <c r="M72" s="36" t="s">
        <v>444</v>
      </c>
      <c r="N72" s="18" t="s">
        <v>444</v>
      </c>
      <c r="O72" s="33">
        <v>-3</v>
      </c>
      <c r="P72" s="18">
        <v>27</v>
      </c>
      <c r="Q72" s="50">
        <v>0.9</v>
      </c>
    </row>
    <row r="73" spans="1:17" ht="17" customHeight="1" x14ac:dyDescent="0.35">
      <c r="A73" s="17">
        <v>73</v>
      </c>
      <c r="B73" s="17" t="s">
        <v>202</v>
      </c>
      <c r="C73" s="15">
        <v>16.2</v>
      </c>
      <c r="D73" s="22">
        <v>1</v>
      </c>
      <c r="E73" s="22" t="s">
        <v>419</v>
      </c>
      <c r="F73" s="20">
        <v>16.2</v>
      </c>
      <c r="G73" s="22">
        <v>43045</v>
      </c>
      <c r="H73" s="20">
        <v>16.2</v>
      </c>
      <c r="I73" s="23" t="s">
        <v>334</v>
      </c>
      <c r="J73" s="23" t="s">
        <v>335</v>
      </c>
      <c r="K73" s="22" t="s">
        <v>182</v>
      </c>
      <c r="L73" s="23" t="s">
        <v>361</v>
      </c>
      <c r="M73" s="23" t="s">
        <v>446</v>
      </c>
      <c r="N73" s="18" t="s">
        <v>446</v>
      </c>
      <c r="O73" s="17">
        <v>30</v>
      </c>
      <c r="P73" s="18">
        <v>30</v>
      </c>
      <c r="Q73" s="50">
        <v>1</v>
      </c>
    </row>
    <row r="74" spans="1:17" ht="17" customHeight="1" x14ac:dyDescent="0.35">
      <c r="A74" s="17">
        <v>74</v>
      </c>
      <c r="B74" s="17" t="s">
        <v>202</v>
      </c>
      <c r="C74" s="15">
        <v>16.2</v>
      </c>
      <c r="D74" s="22">
        <v>2</v>
      </c>
      <c r="E74" s="22" t="s">
        <v>420</v>
      </c>
      <c r="F74" s="20">
        <v>16.2</v>
      </c>
      <c r="G74" s="22">
        <v>43055</v>
      </c>
      <c r="H74" s="20">
        <v>16.2</v>
      </c>
      <c r="I74" s="23" t="s">
        <v>336</v>
      </c>
      <c r="J74" s="23" t="s">
        <v>337</v>
      </c>
      <c r="K74" s="22" t="s">
        <v>156</v>
      </c>
      <c r="L74" s="23" t="s">
        <v>156</v>
      </c>
      <c r="M74" s="23" t="s">
        <v>447</v>
      </c>
      <c r="N74" s="18" t="s">
        <v>447</v>
      </c>
      <c r="O74" s="17">
        <v>-2</v>
      </c>
      <c r="P74" s="18">
        <v>28</v>
      </c>
      <c r="Q74" s="50">
        <v>0.93300000000000005</v>
      </c>
    </row>
    <row r="75" spans="1:17" ht="17" customHeight="1" x14ac:dyDescent="0.35">
      <c r="A75" s="17">
        <v>75</v>
      </c>
      <c r="B75" s="17" t="s">
        <v>202</v>
      </c>
      <c r="C75" s="15">
        <v>16.2</v>
      </c>
      <c r="D75" s="22">
        <v>3</v>
      </c>
      <c r="E75" s="22" t="s">
        <v>421</v>
      </c>
      <c r="F75" s="20">
        <v>16.2</v>
      </c>
      <c r="G75" s="22">
        <v>43063</v>
      </c>
      <c r="H75" s="20">
        <v>16.2</v>
      </c>
      <c r="I75" s="23" t="s">
        <v>338</v>
      </c>
      <c r="J75" s="23" t="s">
        <v>339</v>
      </c>
      <c r="K75" s="22" t="s">
        <v>178</v>
      </c>
      <c r="L75" s="23" t="s">
        <v>359</v>
      </c>
      <c r="M75" s="23" t="s">
        <v>448</v>
      </c>
      <c r="N75" s="18" t="s">
        <v>448</v>
      </c>
      <c r="O75" s="17">
        <v>-1</v>
      </c>
      <c r="P75" s="18">
        <v>29</v>
      </c>
      <c r="Q75" s="50">
        <v>0.96699999999999997</v>
      </c>
    </row>
    <row r="76" spans="1:17" ht="17" customHeight="1" x14ac:dyDescent="0.35">
      <c r="A76" s="33">
        <v>76</v>
      </c>
      <c r="B76" s="33"/>
      <c r="C76" s="33"/>
      <c r="D76" s="35"/>
      <c r="E76" s="35" t="s">
        <v>411</v>
      </c>
      <c r="F76" s="36">
        <v>0</v>
      </c>
      <c r="G76" s="35">
        <v>55555</v>
      </c>
      <c r="H76" s="36">
        <v>0</v>
      </c>
      <c r="I76" s="36" t="s">
        <v>412</v>
      </c>
      <c r="J76" s="36" t="s">
        <v>416</v>
      </c>
      <c r="K76" s="35"/>
      <c r="L76" s="36"/>
      <c r="M76" s="36" t="s">
        <v>449</v>
      </c>
      <c r="N76" s="18" t="s">
        <v>449</v>
      </c>
      <c r="O76" s="33"/>
    </row>
    <row r="77" spans="1:17" ht="17" customHeight="1" x14ac:dyDescent="0.35">
      <c r="A77" s="17">
        <v>77</v>
      </c>
      <c r="B77" s="17" t="s">
        <v>203</v>
      </c>
      <c r="C77" s="15">
        <v>16.2</v>
      </c>
      <c r="D77" s="22">
        <v>4</v>
      </c>
      <c r="E77" s="22" t="s">
        <v>422</v>
      </c>
      <c r="F77" s="20">
        <v>16.2</v>
      </c>
      <c r="G77" s="22">
        <v>43093</v>
      </c>
      <c r="H77" s="20">
        <v>16.2</v>
      </c>
      <c r="I77" s="23" t="s">
        <v>340</v>
      </c>
      <c r="J77" s="23" t="s">
        <v>341</v>
      </c>
      <c r="K77" s="22" t="s">
        <v>159</v>
      </c>
      <c r="L77" s="23" t="s">
        <v>159</v>
      </c>
      <c r="M77" s="23" t="s">
        <v>450</v>
      </c>
      <c r="N77" s="18" t="s">
        <v>450</v>
      </c>
      <c r="O77" s="17">
        <v>-2</v>
      </c>
      <c r="P77" s="18">
        <v>28</v>
      </c>
      <c r="Q77" s="50">
        <v>0.93300000000000005</v>
      </c>
    </row>
    <row r="78" spans="1:17" ht="17" customHeight="1" x14ac:dyDescent="0.35">
      <c r="A78" s="17">
        <v>78</v>
      </c>
      <c r="B78" s="17" t="s">
        <v>203</v>
      </c>
      <c r="C78" s="15">
        <v>16.2</v>
      </c>
      <c r="D78" s="22">
        <v>5</v>
      </c>
      <c r="E78" s="22" t="s">
        <v>423</v>
      </c>
      <c r="F78" s="20">
        <v>16.2</v>
      </c>
      <c r="G78" s="22">
        <v>43113</v>
      </c>
      <c r="H78" s="20">
        <v>16.2</v>
      </c>
      <c r="I78" s="23" t="s">
        <v>342</v>
      </c>
      <c r="J78" s="23" t="s">
        <v>343</v>
      </c>
      <c r="K78" s="22" t="s">
        <v>161</v>
      </c>
      <c r="L78" s="23" t="s">
        <v>363</v>
      </c>
      <c r="M78" s="23" t="s">
        <v>442</v>
      </c>
      <c r="N78" s="18" t="s">
        <v>442</v>
      </c>
      <c r="O78" s="17">
        <v>-9</v>
      </c>
      <c r="P78" s="18">
        <v>21</v>
      </c>
      <c r="Q78" s="50">
        <v>0.7</v>
      </c>
    </row>
    <row r="79" spans="1:17" ht="17" customHeight="1" x14ac:dyDescent="0.35">
      <c r="A79" s="17">
        <v>79</v>
      </c>
      <c r="B79" s="17" t="s">
        <v>203</v>
      </c>
      <c r="C79" s="15">
        <v>16.2</v>
      </c>
      <c r="D79" s="22">
        <v>6</v>
      </c>
      <c r="E79" s="22" t="s">
        <v>424</v>
      </c>
      <c r="F79" s="20">
        <v>16.2</v>
      </c>
      <c r="G79" s="22">
        <v>43128</v>
      </c>
      <c r="H79" s="20">
        <v>16.2</v>
      </c>
      <c r="I79" s="23" t="s">
        <v>434</v>
      </c>
      <c r="J79" s="23" t="s">
        <v>435</v>
      </c>
      <c r="K79" s="22" t="s">
        <v>163</v>
      </c>
      <c r="L79" s="23" t="s">
        <v>362</v>
      </c>
      <c r="M79" s="23" t="s">
        <v>441</v>
      </c>
      <c r="N79" s="18" t="s">
        <v>441</v>
      </c>
      <c r="O79" s="17">
        <v>-10</v>
      </c>
      <c r="P79" s="18">
        <v>20</v>
      </c>
      <c r="Q79" s="50">
        <v>0.66700000000000004</v>
      </c>
    </row>
    <row r="80" spans="1:17" ht="17" customHeight="1" x14ac:dyDescent="0.35">
      <c r="A80" s="17">
        <v>80</v>
      </c>
      <c r="B80" s="17" t="s">
        <v>204</v>
      </c>
      <c r="C80" s="15">
        <v>16.2</v>
      </c>
      <c r="D80" s="22">
        <v>7</v>
      </c>
      <c r="E80" s="22" t="s">
        <v>425</v>
      </c>
      <c r="F80" s="20">
        <v>16.2</v>
      </c>
      <c r="G80" s="22">
        <v>43143</v>
      </c>
      <c r="H80" s="20">
        <v>16.2</v>
      </c>
      <c r="I80" s="23" t="s">
        <v>344</v>
      </c>
      <c r="J80" s="23" t="s">
        <v>345</v>
      </c>
      <c r="K80" s="22" t="s">
        <v>166</v>
      </c>
      <c r="L80" s="20" t="s">
        <v>401</v>
      </c>
      <c r="M80" s="20" t="s">
        <v>439</v>
      </c>
      <c r="N80" s="18" t="s">
        <v>439</v>
      </c>
      <c r="O80" s="17">
        <v>-19</v>
      </c>
      <c r="P80" s="18">
        <v>11</v>
      </c>
      <c r="Q80" s="50">
        <v>0.36699999999999999</v>
      </c>
    </row>
    <row r="81" spans="1:17" ht="17" customHeight="1" x14ac:dyDescent="0.35">
      <c r="A81" s="17">
        <v>81</v>
      </c>
      <c r="B81" s="17" t="s">
        <v>204</v>
      </c>
      <c r="C81" s="15">
        <v>16.2</v>
      </c>
      <c r="D81" s="22">
        <v>8</v>
      </c>
      <c r="E81" s="22" t="s">
        <v>426</v>
      </c>
      <c r="F81" s="20">
        <v>16.2</v>
      </c>
      <c r="G81" s="22">
        <v>43144</v>
      </c>
      <c r="H81" s="20">
        <v>16.2</v>
      </c>
      <c r="I81" s="23" t="s">
        <v>346</v>
      </c>
      <c r="J81" s="23" t="s">
        <v>347</v>
      </c>
      <c r="K81" s="22" t="s">
        <v>168</v>
      </c>
      <c r="L81" s="20" t="s">
        <v>400</v>
      </c>
      <c r="M81" s="20" t="s">
        <v>451</v>
      </c>
      <c r="N81" s="18" t="s">
        <v>451</v>
      </c>
      <c r="O81" s="17">
        <v>-2</v>
      </c>
      <c r="P81" s="18">
        <v>28</v>
      </c>
      <c r="Q81" s="50">
        <v>0.93300000000000005</v>
      </c>
    </row>
    <row r="82" spans="1:17" ht="17" customHeight="1" x14ac:dyDescent="0.35">
      <c r="A82" s="17">
        <v>82</v>
      </c>
      <c r="B82" s="17" t="s">
        <v>204</v>
      </c>
      <c r="C82" s="15">
        <v>16.2</v>
      </c>
      <c r="D82" s="22">
        <v>9</v>
      </c>
      <c r="E82" s="22" t="s">
        <v>427</v>
      </c>
      <c r="F82" s="20">
        <v>16.2</v>
      </c>
      <c r="G82" s="22">
        <v>46496</v>
      </c>
      <c r="H82" s="20">
        <v>16.2</v>
      </c>
      <c r="I82" s="20" t="s">
        <v>231</v>
      </c>
      <c r="J82" s="20" t="s">
        <v>232</v>
      </c>
      <c r="K82" s="19" t="s">
        <v>171</v>
      </c>
      <c r="L82" s="23" t="s">
        <v>360</v>
      </c>
      <c r="M82" s="23" t="s">
        <v>443</v>
      </c>
      <c r="N82" s="18" t="s">
        <v>443</v>
      </c>
      <c r="O82" s="17">
        <v>-15</v>
      </c>
      <c r="P82" s="18">
        <v>15</v>
      </c>
      <c r="Q82" s="50">
        <v>0.5</v>
      </c>
    </row>
    <row r="83" spans="1:17" ht="17" customHeight="1" x14ac:dyDescent="0.35">
      <c r="A83" s="17">
        <v>83</v>
      </c>
      <c r="B83" s="17" t="s">
        <v>204</v>
      </c>
      <c r="C83" s="15">
        <v>16.2</v>
      </c>
      <c r="D83" s="22">
        <v>10</v>
      </c>
      <c r="E83" s="22" t="s">
        <v>428</v>
      </c>
      <c r="F83" s="20">
        <v>16.2</v>
      </c>
      <c r="G83" s="22">
        <v>46923</v>
      </c>
      <c r="H83" s="20">
        <v>16.2</v>
      </c>
      <c r="I83" s="20" t="s">
        <v>221</v>
      </c>
      <c r="J83" s="20" t="s">
        <v>222</v>
      </c>
      <c r="K83" s="19" t="s">
        <v>223</v>
      </c>
      <c r="L83" s="23" t="s">
        <v>365</v>
      </c>
      <c r="M83" s="23" t="s">
        <v>452</v>
      </c>
      <c r="N83" s="18" t="s">
        <v>452</v>
      </c>
      <c r="O83" s="17">
        <v>-1</v>
      </c>
      <c r="P83" s="18">
        <v>29</v>
      </c>
      <c r="Q83" s="50">
        <v>0.96699999999999997</v>
      </c>
    </row>
    <row r="84" spans="1:17" ht="17" customHeight="1" x14ac:dyDescent="0.35">
      <c r="A84" s="17">
        <v>84</v>
      </c>
      <c r="B84" s="17" t="s">
        <v>205</v>
      </c>
      <c r="C84" s="15">
        <v>16.2</v>
      </c>
      <c r="D84" s="22">
        <v>11</v>
      </c>
      <c r="E84" s="22" t="s">
        <v>429</v>
      </c>
      <c r="F84" s="20">
        <v>16.2</v>
      </c>
      <c r="G84" s="22">
        <v>46924</v>
      </c>
      <c r="H84" s="20">
        <v>16.2</v>
      </c>
      <c r="I84" s="20" t="s">
        <v>230</v>
      </c>
      <c r="J84" s="20" t="s">
        <v>229</v>
      </c>
      <c r="K84" s="19" t="s">
        <v>224</v>
      </c>
      <c r="L84" s="23" t="s">
        <v>364</v>
      </c>
      <c r="M84" s="23" t="s">
        <v>453</v>
      </c>
      <c r="N84" s="18" t="s">
        <v>453</v>
      </c>
      <c r="O84" s="33"/>
    </row>
    <row r="85" spans="1:17" ht="17" customHeight="1" x14ac:dyDescent="0.35">
      <c r="A85" s="17">
        <v>85</v>
      </c>
      <c r="B85" s="17" t="s">
        <v>205</v>
      </c>
      <c r="C85" s="15">
        <v>16.2</v>
      </c>
      <c r="D85" s="22">
        <v>12</v>
      </c>
      <c r="E85" s="22" t="s">
        <v>430</v>
      </c>
      <c r="F85" s="20">
        <v>16.2</v>
      </c>
      <c r="G85" s="22">
        <v>46930</v>
      </c>
      <c r="H85" s="20">
        <v>16.2</v>
      </c>
      <c r="I85" s="20" t="s">
        <v>225</v>
      </c>
      <c r="J85" s="20" t="s">
        <v>373</v>
      </c>
      <c r="K85" s="19" t="s">
        <v>225</v>
      </c>
      <c r="L85" s="23" t="s">
        <v>225</v>
      </c>
      <c r="M85" s="23" t="s">
        <v>440</v>
      </c>
      <c r="N85" s="18" t="s">
        <v>440</v>
      </c>
      <c r="O85" s="17">
        <v>-14</v>
      </c>
      <c r="P85" s="18">
        <v>16</v>
      </c>
      <c r="Q85" s="50">
        <v>0.53300000000000003</v>
      </c>
    </row>
    <row r="86" spans="1:17" ht="17" customHeight="1" x14ac:dyDescent="0.35">
      <c r="A86" s="33">
        <v>86</v>
      </c>
      <c r="B86" s="33"/>
      <c r="C86" s="33"/>
      <c r="D86" s="35"/>
      <c r="E86" s="35" t="s">
        <v>413</v>
      </c>
      <c r="F86" s="36">
        <v>0</v>
      </c>
      <c r="G86" s="35">
        <v>55555</v>
      </c>
      <c r="H86" s="36">
        <v>0</v>
      </c>
      <c r="I86" s="36" t="s">
        <v>412</v>
      </c>
      <c r="J86" s="36" t="s">
        <v>416</v>
      </c>
      <c r="K86" s="35"/>
      <c r="L86" s="36"/>
      <c r="M86" s="36" t="s">
        <v>454</v>
      </c>
      <c r="N86" s="18" t="s">
        <v>454</v>
      </c>
      <c r="O86" s="33"/>
    </row>
    <row r="87" spans="1:17" ht="17" customHeight="1" x14ac:dyDescent="0.35">
      <c r="A87" s="17">
        <v>87</v>
      </c>
      <c r="B87" s="17" t="s">
        <v>205</v>
      </c>
      <c r="C87" s="15">
        <v>16.2</v>
      </c>
      <c r="D87" s="22">
        <v>13</v>
      </c>
      <c r="E87" s="22" t="s">
        <v>414</v>
      </c>
      <c r="F87" s="20">
        <v>16.2</v>
      </c>
      <c r="G87" s="22">
        <v>46934</v>
      </c>
      <c r="H87" s="20">
        <v>16.2</v>
      </c>
      <c r="I87" s="20" t="s">
        <v>374</v>
      </c>
      <c r="J87" s="20" t="s">
        <v>228</v>
      </c>
      <c r="K87" s="19" t="s">
        <v>226</v>
      </c>
      <c r="L87" s="23" t="s">
        <v>366</v>
      </c>
      <c r="M87" s="23" t="s">
        <v>445</v>
      </c>
      <c r="N87" s="18" t="s">
        <v>445</v>
      </c>
      <c r="O87" s="17">
        <v>-1</v>
      </c>
      <c r="P87" s="18">
        <v>29</v>
      </c>
      <c r="Q87" s="50">
        <v>0.96699999999999997</v>
      </c>
    </row>
    <row r="88" spans="1:17" ht="17" customHeight="1" x14ac:dyDescent="0.35">
      <c r="A88" s="17">
        <v>88</v>
      </c>
      <c r="B88" s="17" t="s">
        <v>205</v>
      </c>
      <c r="C88" s="15">
        <v>16.2</v>
      </c>
      <c r="D88" s="22">
        <v>14</v>
      </c>
      <c r="E88" s="17" t="s">
        <v>415</v>
      </c>
      <c r="F88" s="20">
        <v>16.2</v>
      </c>
      <c r="G88" s="22">
        <v>46939</v>
      </c>
      <c r="H88" s="20">
        <v>16.2</v>
      </c>
      <c r="I88" s="29" t="s">
        <v>375</v>
      </c>
      <c r="J88" s="20" t="s">
        <v>376</v>
      </c>
      <c r="K88" s="19" t="s">
        <v>227</v>
      </c>
      <c r="L88" s="23" t="s">
        <v>227</v>
      </c>
      <c r="M88" s="23" t="s">
        <v>455</v>
      </c>
      <c r="N88" s="18" t="s">
        <v>455</v>
      </c>
      <c r="O88" s="17" t="e">
        <f>-G189+#REF!</f>
        <v>#REF!</v>
      </c>
      <c r="P88" s="18">
        <v>0</v>
      </c>
      <c r="Q88" s="50">
        <v>0</v>
      </c>
    </row>
    <row r="89" spans="1:17" ht="17" customHeight="1" x14ac:dyDescent="0.35">
      <c r="A89" s="17">
        <v>89</v>
      </c>
      <c r="B89" s="17">
        <v>71</v>
      </c>
      <c r="C89" s="17"/>
      <c r="D89" s="17"/>
      <c r="E89" s="17" t="s">
        <v>473</v>
      </c>
      <c r="F89" s="20">
        <v>16.2</v>
      </c>
      <c r="G89" s="17">
        <v>47124</v>
      </c>
      <c r="H89" s="20">
        <v>16.2</v>
      </c>
      <c r="I89" s="17" t="s">
        <v>436</v>
      </c>
      <c r="J89" s="40" t="s">
        <v>437</v>
      </c>
      <c r="K89" s="17" t="s">
        <v>438</v>
      </c>
      <c r="L89" s="15"/>
      <c r="M89" s="15" t="s">
        <v>456</v>
      </c>
      <c r="N89" s="18" t="s">
        <v>456</v>
      </c>
      <c r="O8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8D9D-5A85-4219-93A6-236D9AC38D5A}">
  <dimension ref="A1:P89"/>
  <sheetViews>
    <sheetView zoomScaleNormal="100" workbookViewId="0">
      <selection activeCell="L31" sqref="A1:XFD1048576"/>
    </sheetView>
  </sheetViews>
  <sheetFormatPr defaultRowHeight="17" customHeight="1" x14ac:dyDescent="0.35"/>
  <cols>
    <col min="1" max="1" width="8.7265625" style="18"/>
    <col min="2" max="3" width="8.7265625" style="18" customWidth="1"/>
    <col min="4" max="5" width="14.90625" style="18" customWidth="1"/>
    <col min="6" max="6" width="8.7265625" style="18"/>
    <col min="7" max="7" width="15.1796875" style="18" customWidth="1"/>
    <col min="8" max="8" width="12.90625" style="18" bestFit="1" customWidth="1"/>
    <col min="9" max="9" width="19.90625" style="18" customWidth="1"/>
    <col min="10" max="10" width="8" style="18" customWidth="1"/>
    <col min="11" max="12" width="24.1796875" style="18" customWidth="1"/>
    <col min="13" max="13" width="14.08984375" style="18" bestFit="1" customWidth="1"/>
    <col min="14" max="14" width="14.6328125" style="18" customWidth="1"/>
    <col min="15" max="16" width="8.7265625" style="18"/>
  </cols>
  <sheetData>
    <row r="1" spans="1:16" ht="17" customHeight="1" x14ac:dyDescent="0.35">
      <c r="A1" s="17">
        <v>1</v>
      </c>
      <c r="B1" s="15" t="s">
        <v>201</v>
      </c>
      <c r="C1" s="15">
        <v>11.1</v>
      </c>
      <c r="D1" s="19" t="s">
        <v>0</v>
      </c>
      <c r="E1" s="19" t="s">
        <v>417</v>
      </c>
      <c r="F1" s="20">
        <v>11.1</v>
      </c>
      <c r="G1" s="19"/>
      <c r="H1" s="21"/>
      <c r="I1" s="20" t="s">
        <v>233</v>
      </c>
      <c r="J1" s="19"/>
      <c r="K1" s="20"/>
      <c r="L1" s="20"/>
      <c r="M1" s="18" t="s">
        <v>431</v>
      </c>
      <c r="N1" s="15" t="s">
        <v>465</v>
      </c>
      <c r="O1" s="15" t="s">
        <v>466</v>
      </c>
      <c r="P1" s="15" t="s">
        <v>467</v>
      </c>
    </row>
    <row r="2" spans="1:16" ht="17" customHeight="1" x14ac:dyDescent="0.35">
      <c r="A2" s="17">
        <v>2</v>
      </c>
      <c r="B2" s="17" t="s">
        <v>202</v>
      </c>
      <c r="C2" s="15">
        <v>11.1</v>
      </c>
      <c r="D2" s="22">
        <v>1</v>
      </c>
      <c r="E2" s="22" t="s">
        <v>418</v>
      </c>
      <c r="F2" s="20">
        <v>11.1</v>
      </c>
      <c r="G2" s="22">
        <v>42889</v>
      </c>
      <c r="H2" s="23" t="s">
        <v>234</v>
      </c>
      <c r="I2" s="23" t="s">
        <v>235</v>
      </c>
      <c r="J2" s="22" t="s">
        <v>3</v>
      </c>
      <c r="K2" s="23" t="s">
        <v>370</v>
      </c>
      <c r="L2" s="23" t="s">
        <v>444</v>
      </c>
      <c r="M2" s="18" t="s">
        <v>444</v>
      </c>
      <c r="N2" s="17">
        <v>-2</v>
      </c>
      <c r="O2" s="18">
        <v>28</v>
      </c>
      <c r="P2" s="50">
        <v>0.93300000000000005</v>
      </c>
    </row>
    <row r="3" spans="1:16" ht="17" customHeight="1" x14ac:dyDescent="0.35">
      <c r="A3" s="17">
        <v>3</v>
      </c>
      <c r="B3" s="17" t="s">
        <v>202</v>
      </c>
      <c r="C3" s="15">
        <v>11.1</v>
      </c>
      <c r="D3" s="22">
        <v>2</v>
      </c>
      <c r="E3" s="22" t="s">
        <v>419</v>
      </c>
      <c r="F3" s="20">
        <v>11.1</v>
      </c>
      <c r="G3" s="22">
        <v>42956</v>
      </c>
      <c r="H3" s="23" t="s">
        <v>236</v>
      </c>
      <c r="I3" s="23" t="s">
        <v>237</v>
      </c>
      <c r="J3" s="22" t="s">
        <v>6</v>
      </c>
      <c r="K3" s="20" t="s">
        <v>403</v>
      </c>
      <c r="L3" s="20" t="s">
        <v>446</v>
      </c>
      <c r="M3" s="18" t="s">
        <v>446</v>
      </c>
      <c r="N3" s="17">
        <v>-9</v>
      </c>
      <c r="O3" s="55">
        <v>21</v>
      </c>
      <c r="P3" s="56">
        <v>0.7</v>
      </c>
    </row>
    <row r="4" spans="1:16" ht="17" customHeight="1" x14ac:dyDescent="0.35">
      <c r="A4" s="17">
        <v>4</v>
      </c>
      <c r="B4" s="17" t="s">
        <v>202</v>
      </c>
      <c r="C4" s="15">
        <v>11.1</v>
      </c>
      <c r="D4" s="22">
        <v>3</v>
      </c>
      <c r="E4" s="22" t="s">
        <v>420</v>
      </c>
      <c r="F4" s="20">
        <v>11.1</v>
      </c>
      <c r="G4" s="22">
        <v>42974</v>
      </c>
      <c r="H4" s="23" t="s">
        <v>238</v>
      </c>
      <c r="I4" s="23" t="s">
        <v>239</v>
      </c>
      <c r="J4" s="22" t="s">
        <v>9</v>
      </c>
      <c r="K4" s="23" t="s">
        <v>9</v>
      </c>
      <c r="L4" s="23" t="s">
        <v>447</v>
      </c>
      <c r="M4" s="18" t="s">
        <v>447</v>
      </c>
      <c r="N4" s="17">
        <v>-4</v>
      </c>
      <c r="O4" s="18">
        <v>26</v>
      </c>
      <c r="P4" s="50">
        <v>0.86699999999999999</v>
      </c>
    </row>
    <row r="5" spans="1:16" ht="17" customHeight="1" x14ac:dyDescent="0.35">
      <c r="A5" s="17">
        <v>5</v>
      </c>
      <c r="B5" s="17" t="s">
        <v>203</v>
      </c>
      <c r="C5" s="15">
        <v>11.1</v>
      </c>
      <c r="D5" s="22">
        <v>4</v>
      </c>
      <c r="E5" s="22" t="s">
        <v>421</v>
      </c>
      <c r="F5" s="20">
        <v>11.1</v>
      </c>
      <c r="G5" s="22">
        <v>42978</v>
      </c>
      <c r="H5" s="23" t="s">
        <v>240</v>
      </c>
      <c r="I5" s="23" t="s">
        <v>241</v>
      </c>
      <c r="J5" s="19" t="s">
        <v>348</v>
      </c>
      <c r="K5" s="20" t="s">
        <v>402</v>
      </c>
      <c r="L5" s="20" t="s">
        <v>448</v>
      </c>
      <c r="M5" s="18" t="s">
        <v>448</v>
      </c>
      <c r="N5" s="17">
        <v>30</v>
      </c>
      <c r="O5" s="18">
        <v>30</v>
      </c>
      <c r="P5" s="50">
        <v>1</v>
      </c>
    </row>
    <row r="6" spans="1:16" ht="17" customHeight="1" x14ac:dyDescent="0.35">
      <c r="A6" s="33">
        <v>6</v>
      </c>
      <c r="B6" s="33"/>
      <c r="C6" s="33"/>
      <c r="D6" s="35"/>
      <c r="E6" s="35" t="s">
        <v>411</v>
      </c>
      <c r="F6" s="36">
        <v>0</v>
      </c>
      <c r="G6" s="35">
        <v>55555</v>
      </c>
      <c r="H6" s="36" t="s">
        <v>412</v>
      </c>
      <c r="I6" s="36" t="s">
        <v>416</v>
      </c>
      <c r="J6" s="35"/>
      <c r="K6" s="36"/>
      <c r="L6" s="36" t="s">
        <v>449</v>
      </c>
      <c r="M6" s="18" t="s">
        <v>449</v>
      </c>
      <c r="N6" s="33"/>
    </row>
    <row r="7" spans="1:16" ht="17" customHeight="1" x14ac:dyDescent="0.35">
      <c r="A7" s="17">
        <v>7</v>
      </c>
      <c r="B7" s="17" t="s">
        <v>203</v>
      </c>
      <c r="C7" s="15">
        <v>11.1</v>
      </c>
      <c r="D7" s="22">
        <v>5</v>
      </c>
      <c r="E7" s="22" t="s">
        <v>422</v>
      </c>
      <c r="F7" s="20">
        <v>11.1</v>
      </c>
      <c r="G7" s="22">
        <v>42979</v>
      </c>
      <c r="H7" s="23" t="s">
        <v>242</v>
      </c>
      <c r="I7" s="23" t="s">
        <v>243</v>
      </c>
      <c r="J7" s="22" t="s">
        <v>14</v>
      </c>
      <c r="K7" s="23" t="s">
        <v>368</v>
      </c>
      <c r="L7" s="23" t="s">
        <v>450</v>
      </c>
      <c r="M7" s="18" t="s">
        <v>450</v>
      </c>
      <c r="N7" s="17">
        <v>-7</v>
      </c>
      <c r="O7" s="55">
        <v>23</v>
      </c>
      <c r="P7" s="56">
        <v>0.76700000000000002</v>
      </c>
    </row>
    <row r="8" spans="1:16" ht="17" customHeight="1" x14ac:dyDescent="0.35">
      <c r="A8" s="17">
        <v>8</v>
      </c>
      <c r="B8" s="17" t="s">
        <v>203</v>
      </c>
      <c r="C8" s="15">
        <v>11.1</v>
      </c>
      <c r="D8" s="22">
        <v>6</v>
      </c>
      <c r="E8" s="22" t="s">
        <v>423</v>
      </c>
      <c r="F8" s="20">
        <v>11.1</v>
      </c>
      <c r="G8" s="22">
        <v>42995</v>
      </c>
      <c r="H8" s="23" t="s">
        <v>244</v>
      </c>
      <c r="I8" s="23" t="s">
        <v>245</v>
      </c>
      <c r="J8" s="22" t="s">
        <v>17</v>
      </c>
      <c r="K8" s="23" t="s">
        <v>17</v>
      </c>
      <c r="L8" s="23" t="s">
        <v>442</v>
      </c>
      <c r="M8" s="18" t="s">
        <v>442</v>
      </c>
      <c r="N8" s="17">
        <v>30</v>
      </c>
      <c r="O8" s="18">
        <v>30</v>
      </c>
      <c r="P8" s="50">
        <v>1</v>
      </c>
    </row>
    <row r="9" spans="1:16" ht="17" customHeight="1" x14ac:dyDescent="0.35">
      <c r="A9" s="17">
        <v>9</v>
      </c>
      <c r="B9" s="17" t="s">
        <v>204</v>
      </c>
      <c r="C9" s="15">
        <v>11.1</v>
      </c>
      <c r="D9" s="22">
        <v>7</v>
      </c>
      <c r="E9" s="22" t="s">
        <v>424</v>
      </c>
      <c r="F9" s="20">
        <v>11.1</v>
      </c>
      <c r="G9" s="22">
        <v>43015</v>
      </c>
      <c r="H9" s="23" t="s">
        <v>246</v>
      </c>
      <c r="I9" s="23" t="s">
        <v>247</v>
      </c>
      <c r="J9" s="22" t="s">
        <v>20</v>
      </c>
      <c r="K9" s="23" t="s">
        <v>369</v>
      </c>
      <c r="L9" s="23" t="s">
        <v>441</v>
      </c>
      <c r="M9" s="18" t="s">
        <v>441</v>
      </c>
      <c r="N9" s="17">
        <v>-2</v>
      </c>
      <c r="O9" s="18">
        <v>28</v>
      </c>
      <c r="P9" s="50">
        <v>0.93300000000000005</v>
      </c>
    </row>
    <row r="10" spans="1:16" ht="17" customHeight="1" x14ac:dyDescent="0.35">
      <c r="A10" s="17">
        <v>10</v>
      </c>
      <c r="B10" s="17" t="s">
        <v>204</v>
      </c>
      <c r="C10" s="15">
        <v>11.1</v>
      </c>
      <c r="D10" s="22">
        <v>8</v>
      </c>
      <c r="E10" s="22" t="s">
        <v>425</v>
      </c>
      <c r="F10" s="20">
        <v>11.1</v>
      </c>
      <c r="G10" s="22">
        <v>43017</v>
      </c>
      <c r="H10" s="23" t="s">
        <v>248</v>
      </c>
      <c r="I10" s="23" t="s">
        <v>249</v>
      </c>
      <c r="J10" s="22" t="s">
        <v>22</v>
      </c>
      <c r="K10" s="23" t="s">
        <v>22</v>
      </c>
      <c r="L10" s="23" t="s">
        <v>439</v>
      </c>
      <c r="M10" s="18" t="s">
        <v>439</v>
      </c>
      <c r="N10" s="33" t="s">
        <v>233</v>
      </c>
    </row>
    <row r="11" spans="1:16" ht="17" customHeight="1" x14ac:dyDescent="0.35">
      <c r="A11" s="17">
        <v>11</v>
      </c>
      <c r="B11" s="17" t="s">
        <v>204</v>
      </c>
      <c r="C11" s="15">
        <v>11.1</v>
      </c>
      <c r="D11" s="22">
        <v>9</v>
      </c>
      <c r="E11" s="22" t="s">
        <v>426</v>
      </c>
      <c r="F11" s="20">
        <v>11.1</v>
      </c>
      <c r="G11" s="22">
        <v>43150</v>
      </c>
      <c r="H11" s="23" t="s">
        <v>250</v>
      </c>
      <c r="I11" s="23" t="s">
        <v>251</v>
      </c>
      <c r="J11" s="22" t="s">
        <v>25</v>
      </c>
      <c r="K11" s="23" t="s">
        <v>367</v>
      </c>
      <c r="L11" s="23" t="s">
        <v>451</v>
      </c>
      <c r="M11" s="18" t="s">
        <v>451</v>
      </c>
      <c r="N11" s="17">
        <v>-10</v>
      </c>
      <c r="O11" s="55">
        <v>20</v>
      </c>
      <c r="P11" s="56">
        <v>0.66700000000000004</v>
      </c>
    </row>
    <row r="12" spans="1:16" ht="17" customHeight="1" x14ac:dyDescent="0.35">
      <c r="A12" s="17">
        <v>12</v>
      </c>
      <c r="B12" s="17" t="s">
        <v>204</v>
      </c>
      <c r="C12" s="15">
        <v>11.1</v>
      </c>
      <c r="D12" s="22">
        <v>10</v>
      </c>
      <c r="E12" s="22" t="s">
        <v>427</v>
      </c>
      <c r="F12" s="20">
        <v>11.1</v>
      </c>
      <c r="G12" s="22">
        <v>43163</v>
      </c>
      <c r="H12" s="23" t="s">
        <v>252</v>
      </c>
      <c r="I12" s="23" t="s">
        <v>253</v>
      </c>
      <c r="J12" s="22" t="s">
        <v>28</v>
      </c>
      <c r="K12" s="23" t="s">
        <v>28</v>
      </c>
      <c r="L12" s="23" t="s">
        <v>443</v>
      </c>
      <c r="M12" s="18" t="s">
        <v>443</v>
      </c>
      <c r="N12" s="17">
        <v>30</v>
      </c>
      <c r="O12" s="18">
        <v>30</v>
      </c>
      <c r="P12" s="50">
        <v>1</v>
      </c>
    </row>
    <row r="13" spans="1:16" ht="17" customHeight="1" x14ac:dyDescent="0.35">
      <c r="A13" s="17">
        <v>13</v>
      </c>
      <c r="B13" s="17" t="s">
        <v>205</v>
      </c>
      <c r="C13" s="15">
        <v>11.1</v>
      </c>
      <c r="D13" s="22">
        <v>11</v>
      </c>
      <c r="E13" s="22" t="s">
        <v>428</v>
      </c>
      <c r="F13" s="20">
        <v>11.1</v>
      </c>
      <c r="G13" s="22">
        <v>43173</v>
      </c>
      <c r="H13" s="23" t="s">
        <v>254</v>
      </c>
      <c r="I13" s="23" t="s">
        <v>255</v>
      </c>
      <c r="J13" s="22" t="s">
        <v>31</v>
      </c>
      <c r="K13" s="23" t="s">
        <v>371</v>
      </c>
      <c r="L13" s="23" t="s">
        <v>452</v>
      </c>
      <c r="M13" s="18" t="s">
        <v>452</v>
      </c>
      <c r="N13" s="17">
        <v>-1</v>
      </c>
      <c r="O13" s="18">
        <v>29</v>
      </c>
      <c r="P13" s="50">
        <v>0.96699999999999997</v>
      </c>
    </row>
    <row r="14" spans="1:16" ht="17" customHeight="1" x14ac:dyDescent="0.35">
      <c r="A14" s="17">
        <v>14</v>
      </c>
      <c r="B14" s="17" t="s">
        <v>205</v>
      </c>
      <c r="C14" s="15">
        <v>11.1</v>
      </c>
      <c r="D14" s="22">
        <v>12</v>
      </c>
      <c r="E14" s="22" t="s">
        <v>429</v>
      </c>
      <c r="F14" s="20">
        <v>11.1</v>
      </c>
      <c r="G14" s="22">
        <v>43217</v>
      </c>
      <c r="H14" s="23" t="s">
        <v>256</v>
      </c>
      <c r="I14" s="23" t="s">
        <v>257</v>
      </c>
      <c r="J14" s="22" t="s">
        <v>34</v>
      </c>
      <c r="K14" s="23" t="s">
        <v>372</v>
      </c>
      <c r="L14" s="23" t="s">
        <v>453</v>
      </c>
      <c r="M14" s="18" t="s">
        <v>453</v>
      </c>
      <c r="N14" s="17">
        <v>30</v>
      </c>
      <c r="O14" s="18">
        <v>30</v>
      </c>
      <c r="P14" s="50">
        <v>1</v>
      </c>
    </row>
    <row r="15" spans="1:16" ht="17" customHeight="1" x14ac:dyDescent="0.35">
      <c r="A15" s="17">
        <v>15</v>
      </c>
      <c r="B15" s="17" t="s">
        <v>205</v>
      </c>
      <c r="C15" s="15">
        <v>11.1</v>
      </c>
      <c r="D15" s="22">
        <v>13</v>
      </c>
      <c r="E15" s="22" t="s">
        <v>430</v>
      </c>
      <c r="F15" s="20">
        <v>11.1</v>
      </c>
      <c r="G15" s="22">
        <v>43220</v>
      </c>
      <c r="H15" s="23" t="s">
        <v>258</v>
      </c>
      <c r="I15" s="23" t="s">
        <v>259</v>
      </c>
      <c r="J15" s="22" t="s">
        <v>37</v>
      </c>
      <c r="K15" s="23" t="s">
        <v>37</v>
      </c>
      <c r="L15" s="23" t="s">
        <v>440</v>
      </c>
      <c r="M15" s="18" t="s">
        <v>440</v>
      </c>
      <c r="N15" s="17">
        <v>-1</v>
      </c>
      <c r="O15" s="18">
        <v>29</v>
      </c>
      <c r="P15" s="50">
        <v>0.96699999999999997</v>
      </c>
    </row>
    <row r="16" spans="1:16" ht="17" customHeight="1" x14ac:dyDescent="0.35">
      <c r="A16" s="17">
        <v>16</v>
      </c>
      <c r="B16" s="17"/>
      <c r="C16" s="15"/>
      <c r="D16" s="22"/>
      <c r="E16" s="22" t="s">
        <v>413</v>
      </c>
      <c r="F16" s="20">
        <v>0</v>
      </c>
      <c r="G16" s="22">
        <v>55555</v>
      </c>
      <c r="H16" s="23" t="s">
        <v>412</v>
      </c>
      <c r="I16" s="23"/>
      <c r="J16" s="22"/>
      <c r="K16" s="23"/>
      <c r="L16" s="23" t="s">
        <v>454</v>
      </c>
      <c r="M16" s="18" t="s">
        <v>454</v>
      </c>
      <c r="N16" s="17"/>
    </row>
    <row r="17" spans="1:16" ht="17" customHeight="1" x14ac:dyDescent="0.35">
      <c r="A17" s="17">
        <v>17</v>
      </c>
      <c r="B17" s="17" t="s">
        <v>205</v>
      </c>
      <c r="C17" s="15">
        <v>11.1</v>
      </c>
      <c r="D17" s="22">
        <v>14</v>
      </c>
      <c r="E17" s="22" t="s">
        <v>414</v>
      </c>
      <c r="F17" s="20">
        <v>11.1</v>
      </c>
      <c r="G17" s="22">
        <v>43226</v>
      </c>
      <c r="H17" s="23" t="s">
        <v>260</v>
      </c>
      <c r="I17" s="23" t="s">
        <v>261</v>
      </c>
      <c r="J17" s="22" t="s">
        <v>40</v>
      </c>
      <c r="K17" s="20" t="s">
        <v>402</v>
      </c>
      <c r="L17" s="20" t="s">
        <v>445</v>
      </c>
      <c r="M17" s="18" t="s">
        <v>445</v>
      </c>
      <c r="N17" s="17">
        <v>30</v>
      </c>
      <c r="O17" s="18">
        <v>30</v>
      </c>
      <c r="P17" s="50">
        <v>1</v>
      </c>
    </row>
    <row r="18" spans="1:16" ht="17" customHeight="1" x14ac:dyDescent="0.35">
      <c r="A18" s="17">
        <v>18</v>
      </c>
      <c r="B18" s="15" t="s">
        <v>207</v>
      </c>
      <c r="C18" s="15">
        <v>13.2</v>
      </c>
      <c r="D18" s="19" t="s">
        <v>87</v>
      </c>
      <c r="E18" s="19" t="s">
        <v>417</v>
      </c>
      <c r="F18" s="20">
        <v>13.2</v>
      </c>
      <c r="G18" s="19"/>
      <c r="H18" s="20" t="s">
        <v>233</v>
      </c>
      <c r="I18" s="20" t="s">
        <v>233</v>
      </c>
      <c r="J18" s="19"/>
      <c r="K18" s="20"/>
      <c r="L18" s="20"/>
      <c r="N18" s="15"/>
    </row>
    <row r="19" spans="1:16" ht="17" customHeight="1" x14ac:dyDescent="0.35">
      <c r="A19" s="17">
        <v>19</v>
      </c>
      <c r="B19" s="17" t="s">
        <v>202</v>
      </c>
      <c r="C19" s="15">
        <v>13.2</v>
      </c>
      <c r="D19" s="22">
        <v>1</v>
      </c>
      <c r="E19" s="22" t="s">
        <v>418</v>
      </c>
      <c r="F19" s="20">
        <v>13.2</v>
      </c>
      <c r="G19" s="22">
        <v>42888</v>
      </c>
      <c r="H19" s="23" t="s">
        <v>262</v>
      </c>
      <c r="I19" s="23" t="s">
        <v>263</v>
      </c>
      <c r="J19" s="22" t="s">
        <v>90</v>
      </c>
      <c r="K19" s="23" t="s">
        <v>410</v>
      </c>
      <c r="L19" s="23" t="s">
        <v>444</v>
      </c>
      <c r="M19" s="18" t="s">
        <v>444</v>
      </c>
      <c r="N19" s="17">
        <v>-4</v>
      </c>
      <c r="O19" s="18">
        <v>26</v>
      </c>
      <c r="P19" s="50">
        <v>0.86699999999999999</v>
      </c>
    </row>
    <row r="20" spans="1:16" ht="17" customHeight="1" x14ac:dyDescent="0.35">
      <c r="A20" s="17">
        <v>20</v>
      </c>
      <c r="B20" s="17" t="s">
        <v>202</v>
      </c>
      <c r="C20" s="15">
        <v>13.2</v>
      </c>
      <c r="D20" s="22">
        <v>2</v>
      </c>
      <c r="E20" s="22" t="s">
        <v>419</v>
      </c>
      <c r="F20" s="20">
        <v>13.2</v>
      </c>
      <c r="G20" s="22">
        <v>42929</v>
      </c>
      <c r="H20" s="23" t="s">
        <v>264</v>
      </c>
      <c r="I20" s="23" t="s">
        <v>265</v>
      </c>
      <c r="J20" s="22" t="s">
        <v>93</v>
      </c>
      <c r="K20" s="23" t="s">
        <v>407</v>
      </c>
      <c r="L20" s="23" t="s">
        <v>446</v>
      </c>
      <c r="M20" s="18" t="s">
        <v>446</v>
      </c>
      <c r="N20" s="17">
        <v>-4</v>
      </c>
      <c r="O20" s="18">
        <v>26</v>
      </c>
      <c r="P20" s="50">
        <v>0.86699999999999999</v>
      </c>
    </row>
    <row r="21" spans="1:16" ht="17" customHeight="1" x14ac:dyDescent="0.35">
      <c r="A21" s="17">
        <v>21</v>
      </c>
      <c r="B21" s="17" t="s">
        <v>202</v>
      </c>
      <c r="C21" s="15">
        <v>13.2</v>
      </c>
      <c r="D21" s="22">
        <v>3</v>
      </c>
      <c r="E21" s="22" t="s">
        <v>420</v>
      </c>
      <c r="F21" s="20">
        <v>13.2</v>
      </c>
      <c r="G21" s="22">
        <v>42970</v>
      </c>
      <c r="H21" s="23" t="s">
        <v>266</v>
      </c>
      <c r="I21" s="23" t="s">
        <v>267</v>
      </c>
      <c r="J21" s="22" t="s">
        <v>96</v>
      </c>
      <c r="K21" s="23" t="s">
        <v>266</v>
      </c>
      <c r="L21" s="23" t="s">
        <v>447</v>
      </c>
      <c r="M21" s="18" t="s">
        <v>447</v>
      </c>
      <c r="N21" s="17">
        <v>-3</v>
      </c>
      <c r="O21" s="18">
        <v>27</v>
      </c>
      <c r="P21" s="50">
        <v>0.9</v>
      </c>
    </row>
    <row r="22" spans="1:16" ht="17" customHeight="1" x14ac:dyDescent="0.35">
      <c r="A22" s="17">
        <v>22</v>
      </c>
      <c r="B22" s="17"/>
      <c r="C22" s="15"/>
      <c r="D22" s="22"/>
      <c r="E22" s="22"/>
      <c r="F22" s="20"/>
      <c r="G22" s="22">
        <v>42984</v>
      </c>
      <c r="H22" s="23" t="s">
        <v>432</v>
      </c>
      <c r="I22" s="23" t="s">
        <v>433</v>
      </c>
      <c r="J22" s="19"/>
      <c r="K22" s="20"/>
      <c r="L22" s="20" t="s">
        <v>448</v>
      </c>
      <c r="M22" s="18" t="s">
        <v>448</v>
      </c>
      <c r="N22" s="17">
        <v>30</v>
      </c>
      <c r="O22" s="18">
        <v>30</v>
      </c>
      <c r="P22" s="50">
        <v>1</v>
      </c>
    </row>
    <row r="23" spans="1:16" ht="17" customHeight="1" x14ac:dyDescent="0.35">
      <c r="A23" s="17">
        <v>23</v>
      </c>
      <c r="B23" s="17" t="s">
        <v>203</v>
      </c>
      <c r="C23" s="15">
        <v>13.2</v>
      </c>
      <c r="D23" s="22">
        <v>4</v>
      </c>
      <c r="E23" s="22" t="s">
        <v>421</v>
      </c>
      <c r="F23" s="20">
        <v>13.2</v>
      </c>
      <c r="G23" s="22">
        <v>42981</v>
      </c>
      <c r="H23" s="23" t="s">
        <v>268</v>
      </c>
      <c r="I23" s="23" t="s">
        <v>269</v>
      </c>
      <c r="J23" s="22" t="s">
        <v>99</v>
      </c>
      <c r="K23" s="23" t="s">
        <v>99</v>
      </c>
      <c r="L23" s="23" t="s">
        <v>449</v>
      </c>
      <c r="M23" s="18" t="s">
        <v>449</v>
      </c>
      <c r="N23" s="17">
        <v>-5</v>
      </c>
      <c r="O23" s="55">
        <v>25</v>
      </c>
      <c r="P23" s="50">
        <v>0.83299999999999996</v>
      </c>
    </row>
    <row r="24" spans="1:16" ht="17" customHeight="1" x14ac:dyDescent="0.35">
      <c r="A24" s="33">
        <v>24</v>
      </c>
      <c r="B24" s="33"/>
      <c r="C24" s="33"/>
      <c r="D24" s="35"/>
      <c r="E24" s="35" t="s">
        <v>411</v>
      </c>
      <c r="F24" s="36">
        <v>0</v>
      </c>
      <c r="G24" s="35">
        <v>55555</v>
      </c>
      <c r="H24" s="36" t="s">
        <v>412</v>
      </c>
      <c r="I24" s="36" t="s">
        <v>416</v>
      </c>
      <c r="J24" s="35"/>
      <c r="K24" s="36"/>
      <c r="L24" s="36" t="s">
        <v>450</v>
      </c>
      <c r="M24" s="18" t="s">
        <v>450</v>
      </c>
      <c r="N24" s="33"/>
    </row>
    <row r="25" spans="1:16" ht="17" customHeight="1" x14ac:dyDescent="0.35">
      <c r="A25" s="17">
        <v>25</v>
      </c>
      <c r="B25" s="17" t="s">
        <v>203</v>
      </c>
      <c r="C25" s="15">
        <v>13.2</v>
      </c>
      <c r="D25" s="22">
        <v>5</v>
      </c>
      <c r="E25" s="22" t="s">
        <v>422</v>
      </c>
      <c r="F25" s="20">
        <v>13.2</v>
      </c>
      <c r="G25" s="22">
        <v>42997</v>
      </c>
      <c r="H25" s="23" t="s">
        <v>270</v>
      </c>
      <c r="I25" s="23" t="s">
        <v>271</v>
      </c>
      <c r="J25" s="22" t="s">
        <v>102</v>
      </c>
      <c r="K25" s="23" t="s">
        <v>102</v>
      </c>
      <c r="L25" s="23" t="s">
        <v>442</v>
      </c>
      <c r="M25" s="18" t="s">
        <v>442</v>
      </c>
      <c r="N25" s="17">
        <v>30</v>
      </c>
      <c r="O25" s="18">
        <v>30</v>
      </c>
      <c r="P25" s="50">
        <v>1</v>
      </c>
    </row>
    <row r="26" spans="1:16" ht="17" customHeight="1" x14ac:dyDescent="0.35">
      <c r="A26" s="17">
        <v>26</v>
      </c>
      <c r="B26" s="17" t="s">
        <v>203</v>
      </c>
      <c r="C26" s="15">
        <v>13.2</v>
      </c>
      <c r="D26" s="22">
        <v>6</v>
      </c>
      <c r="E26" s="22" t="s">
        <v>423</v>
      </c>
      <c r="F26" s="20">
        <v>13.2</v>
      </c>
      <c r="G26" s="22">
        <v>43038</v>
      </c>
      <c r="H26" s="23" t="s">
        <v>272</v>
      </c>
      <c r="I26" s="23" t="s">
        <v>273</v>
      </c>
      <c r="J26" s="22" t="s">
        <v>105</v>
      </c>
      <c r="K26" s="23" t="s">
        <v>409</v>
      </c>
      <c r="L26" s="23" t="s">
        <v>441</v>
      </c>
      <c r="M26" s="18" t="s">
        <v>441</v>
      </c>
      <c r="N26" s="17">
        <v>-6</v>
      </c>
      <c r="O26" s="18">
        <v>24</v>
      </c>
      <c r="P26" s="50">
        <v>0.8</v>
      </c>
    </row>
    <row r="27" spans="1:16" ht="17" customHeight="1" x14ac:dyDescent="0.35">
      <c r="A27" s="17">
        <v>27</v>
      </c>
      <c r="B27" s="17" t="s">
        <v>204</v>
      </c>
      <c r="C27" s="15">
        <v>13.2</v>
      </c>
      <c r="D27" s="22">
        <v>7</v>
      </c>
      <c r="E27" s="22" t="s">
        <v>424</v>
      </c>
      <c r="F27" s="20">
        <v>13.2</v>
      </c>
      <c r="G27" s="22">
        <v>43049</v>
      </c>
      <c r="H27" s="23" t="s">
        <v>274</v>
      </c>
      <c r="I27" s="23" t="s">
        <v>275</v>
      </c>
      <c r="J27" s="22" t="s">
        <v>108</v>
      </c>
      <c r="K27" s="23" t="s">
        <v>408</v>
      </c>
      <c r="L27" s="23" t="s">
        <v>439</v>
      </c>
      <c r="M27" s="18" t="s">
        <v>439</v>
      </c>
      <c r="N27" s="17">
        <v>30</v>
      </c>
      <c r="O27" s="18">
        <v>30</v>
      </c>
      <c r="P27" s="50">
        <v>1</v>
      </c>
    </row>
    <row r="28" spans="1:16" ht="17" customHeight="1" x14ac:dyDescent="0.35">
      <c r="A28" s="17">
        <v>28</v>
      </c>
      <c r="B28" s="17" t="s">
        <v>204</v>
      </c>
      <c r="C28" s="15">
        <v>13.2</v>
      </c>
      <c r="D28" s="22">
        <v>8</v>
      </c>
      <c r="E28" s="22" t="s">
        <v>425</v>
      </c>
      <c r="F28" s="20">
        <v>13.2</v>
      </c>
      <c r="G28" s="22">
        <v>43061</v>
      </c>
      <c r="H28" s="23" t="s">
        <v>276</v>
      </c>
      <c r="I28" s="23" t="s">
        <v>277</v>
      </c>
      <c r="J28" s="22" t="s">
        <v>111</v>
      </c>
      <c r="K28" s="23" t="s">
        <v>405</v>
      </c>
      <c r="L28" s="23" t="s">
        <v>451</v>
      </c>
      <c r="M28" s="18" t="s">
        <v>451</v>
      </c>
      <c r="N28" s="17">
        <v>30</v>
      </c>
      <c r="O28" s="18">
        <v>30</v>
      </c>
      <c r="P28" s="50">
        <v>1</v>
      </c>
    </row>
    <row r="29" spans="1:16" ht="17" customHeight="1" x14ac:dyDescent="0.35">
      <c r="A29" s="17">
        <v>29</v>
      </c>
      <c r="B29" s="17" t="s">
        <v>204</v>
      </c>
      <c r="C29" s="15">
        <v>13.2</v>
      </c>
      <c r="D29" s="22">
        <v>9</v>
      </c>
      <c r="E29" s="22" t="s">
        <v>426</v>
      </c>
      <c r="F29" s="20">
        <v>13.2</v>
      </c>
      <c r="G29" s="22">
        <v>43071</v>
      </c>
      <c r="H29" s="23" t="s">
        <v>278</v>
      </c>
      <c r="I29" s="23" t="s">
        <v>279</v>
      </c>
      <c r="J29" s="22" t="s">
        <v>114</v>
      </c>
      <c r="K29" s="20"/>
      <c r="L29" s="20" t="s">
        <v>443</v>
      </c>
      <c r="M29" s="18" t="s">
        <v>443</v>
      </c>
      <c r="N29" s="17">
        <v>30</v>
      </c>
      <c r="O29" s="18">
        <v>30</v>
      </c>
      <c r="P29" s="50">
        <v>1</v>
      </c>
    </row>
    <row r="30" spans="1:16" ht="17" customHeight="1" x14ac:dyDescent="0.35">
      <c r="A30" s="17">
        <v>30</v>
      </c>
      <c r="B30" s="17" t="s">
        <v>204</v>
      </c>
      <c r="C30" s="15">
        <v>13.2</v>
      </c>
      <c r="D30" s="22">
        <v>10</v>
      </c>
      <c r="E30" s="22" t="s">
        <v>427</v>
      </c>
      <c r="F30" s="20">
        <v>13.2</v>
      </c>
      <c r="G30" s="22">
        <v>43182</v>
      </c>
      <c r="H30" s="23" t="s">
        <v>280</v>
      </c>
      <c r="I30" s="23" t="s">
        <v>281</v>
      </c>
      <c r="J30" s="22" t="s">
        <v>117</v>
      </c>
      <c r="K30" s="20"/>
      <c r="L30" s="20" t="s">
        <v>452</v>
      </c>
      <c r="M30" s="18" t="s">
        <v>452</v>
      </c>
      <c r="N30" s="17">
        <v>-4</v>
      </c>
      <c r="O30" s="18">
        <v>26</v>
      </c>
      <c r="P30" s="50">
        <v>0.86699999999999999</v>
      </c>
    </row>
    <row r="31" spans="1:16" ht="17" customHeight="1" x14ac:dyDescent="0.35">
      <c r="A31" s="17">
        <v>31</v>
      </c>
      <c r="B31" s="17" t="s">
        <v>205</v>
      </c>
      <c r="C31" s="15">
        <v>13.2</v>
      </c>
      <c r="D31" s="22">
        <v>11</v>
      </c>
      <c r="E31" s="22" t="s">
        <v>428</v>
      </c>
      <c r="F31" s="20">
        <v>13.2</v>
      </c>
      <c r="G31" s="22">
        <v>43224</v>
      </c>
      <c r="H31" s="23" t="s">
        <v>282</v>
      </c>
      <c r="I31" s="23" t="s">
        <v>283</v>
      </c>
      <c r="J31" s="22" t="s">
        <v>120</v>
      </c>
      <c r="K31" s="23" t="s">
        <v>404</v>
      </c>
      <c r="L31" s="23" t="s">
        <v>453</v>
      </c>
      <c r="M31" s="18" t="s">
        <v>453</v>
      </c>
      <c r="N31" s="17">
        <v>-4</v>
      </c>
      <c r="O31" s="18">
        <v>26</v>
      </c>
      <c r="P31" s="50">
        <v>0.86699999999999999</v>
      </c>
    </row>
    <row r="32" spans="1:16" ht="17" customHeight="1" x14ac:dyDescent="0.35">
      <c r="A32" s="17">
        <v>32</v>
      </c>
      <c r="B32" s="17" t="s">
        <v>205</v>
      </c>
      <c r="C32" s="15">
        <v>13.2</v>
      </c>
      <c r="D32" s="22">
        <v>12</v>
      </c>
      <c r="E32" s="22" t="s">
        <v>429</v>
      </c>
      <c r="F32" s="20">
        <v>13.2</v>
      </c>
      <c r="G32" s="22">
        <v>43251</v>
      </c>
      <c r="H32" s="23" t="s">
        <v>284</v>
      </c>
      <c r="I32" s="23" t="s">
        <v>285</v>
      </c>
      <c r="J32" s="22" t="s">
        <v>123</v>
      </c>
      <c r="K32" s="23" t="s">
        <v>123</v>
      </c>
      <c r="L32" s="23" t="s">
        <v>440</v>
      </c>
      <c r="M32" s="18" t="s">
        <v>440</v>
      </c>
      <c r="N32" s="17">
        <v>30</v>
      </c>
      <c r="O32" s="18">
        <v>30</v>
      </c>
      <c r="P32" s="50">
        <v>1</v>
      </c>
    </row>
    <row r="33" spans="1:16" ht="17" customHeight="1" x14ac:dyDescent="0.35">
      <c r="A33" s="17">
        <v>33</v>
      </c>
      <c r="B33" s="17" t="s">
        <v>205</v>
      </c>
      <c r="C33" s="15">
        <v>13.2</v>
      </c>
      <c r="D33" s="22">
        <v>13</v>
      </c>
      <c r="E33" s="22" t="s">
        <v>430</v>
      </c>
      <c r="F33" s="20">
        <v>13.2</v>
      </c>
      <c r="G33" s="22">
        <v>43255</v>
      </c>
      <c r="H33" s="23" t="s">
        <v>286</v>
      </c>
      <c r="I33" s="23" t="s">
        <v>287</v>
      </c>
      <c r="J33" s="22" t="s">
        <v>86</v>
      </c>
      <c r="K33" s="23" t="s">
        <v>86</v>
      </c>
      <c r="L33" s="23" t="s">
        <v>454</v>
      </c>
      <c r="M33" s="18" t="s">
        <v>454</v>
      </c>
      <c r="N33" s="17">
        <v>-12</v>
      </c>
      <c r="O33" s="18">
        <v>18</v>
      </c>
      <c r="P33" s="50">
        <v>0.6</v>
      </c>
    </row>
    <row r="34" spans="1:16" ht="17" customHeight="1" x14ac:dyDescent="0.35">
      <c r="A34" s="33">
        <v>34</v>
      </c>
      <c r="B34" s="33"/>
      <c r="C34" s="33"/>
      <c r="D34" s="35"/>
      <c r="E34" s="35" t="s">
        <v>413</v>
      </c>
      <c r="F34" s="36">
        <v>0</v>
      </c>
      <c r="G34" s="35">
        <v>55555</v>
      </c>
      <c r="H34" s="36" t="s">
        <v>412</v>
      </c>
      <c r="I34" s="36" t="s">
        <v>416</v>
      </c>
      <c r="J34" s="35"/>
      <c r="K34" s="36"/>
      <c r="L34" s="36" t="s">
        <v>445</v>
      </c>
      <c r="M34" s="18" t="s">
        <v>445</v>
      </c>
      <c r="N34" s="33"/>
    </row>
    <row r="35" spans="1:16" ht="17" customHeight="1" x14ac:dyDescent="0.35">
      <c r="A35" s="17">
        <v>35</v>
      </c>
      <c r="B35" s="17" t="s">
        <v>205</v>
      </c>
      <c r="C35" s="15">
        <v>13.2</v>
      </c>
      <c r="D35" s="22">
        <v>14</v>
      </c>
      <c r="E35" s="22" t="s">
        <v>414</v>
      </c>
      <c r="F35" s="20">
        <v>13.2</v>
      </c>
      <c r="G35" s="22">
        <v>43427</v>
      </c>
      <c r="H35" s="23" t="s">
        <v>288</v>
      </c>
      <c r="I35" s="23" t="s">
        <v>289</v>
      </c>
      <c r="J35" s="22" t="s">
        <v>166</v>
      </c>
      <c r="K35" s="23" t="s">
        <v>406</v>
      </c>
      <c r="L35" s="23" t="s">
        <v>455</v>
      </c>
      <c r="M35" s="18" t="s">
        <v>455</v>
      </c>
      <c r="N35" s="17">
        <v>-8</v>
      </c>
      <c r="O35" s="55">
        <v>22</v>
      </c>
      <c r="P35" s="56">
        <v>0.73299999999999998</v>
      </c>
    </row>
    <row r="36" spans="1:16" ht="17" customHeight="1" x14ac:dyDescent="0.35">
      <c r="A36" s="17">
        <v>36</v>
      </c>
      <c r="B36" s="15" t="s">
        <v>206</v>
      </c>
      <c r="C36" s="15">
        <v>14.1</v>
      </c>
      <c r="D36" s="19" t="s">
        <v>152</v>
      </c>
      <c r="E36" s="22" t="s">
        <v>417</v>
      </c>
      <c r="F36" s="20">
        <v>14.1</v>
      </c>
      <c r="G36" s="19"/>
      <c r="H36" s="20" t="s">
        <v>233</v>
      </c>
      <c r="I36" s="20" t="s">
        <v>233</v>
      </c>
      <c r="J36" s="19"/>
      <c r="K36" s="20"/>
      <c r="L36" s="20"/>
      <c r="N36" s="15"/>
    </row>
    <row r="37" spans="1:16" ht="17" customHeight="1" x14ac:dyDescent="0.35">
      <c r="A37" s="17">
        <v>37</v>
      </c>
      <c r="B37" s="17" t="s">
        <v>202</v>
      </c>
      <c r="C37" s="15">
        <v>14.1</v>
      </c>
      <c r="D37" s="22">
        <v>1</v>
      </c>
      <c r="E37" s="22" t="s">
        <v>418</v>
      </c>
      <c r="F37" s="20">
        <v>14.1</v>
      </c>
      <c r="G37" s="22">
        <v>42973</v>
      </c>
      <c r="H37" s="23" t="s">
        <v>290</v>
      </c>
      <c r="I37" s="23" t="s">
        <v>291</v>
      </c>
      <c r="J37" s="22" t="s">
        <v>44</v>
      </c>
      <c r="K37" s="23" t="s">
        <v>213</v>
      </c>
      <c r="L37" s="23" t="s">
        <v>444</v>
      </c>
      <c r="M37" s="18" t="s">
        <v>444</v>
      </c>
      <c r="N37" s="17">
        <v>-26</v>
      </c>
      <c r="O37" s="55">
        <v>4</v>
      </c>
      <c r="P37" s="56">
        <v>0.13300000000000001</v>
      </c>
    </row>
    <row r="38" spans="1:16" ht="17" customHeight="1" x14ac:dyDescent="0.35">
      <c r="A38" s="17">
        <v>38</v>
      </c>
      <c r="B38" s="17" t="s">
        <v>202</v>
      </c>
      <c r="C38" s="15">
        <v>14.1</v>
      </c>
      <c r="D38" s="22">
        <v>2</v>
      </c>
      <c r="E38" s="22" t="s">
        <v>419</v>
      </c>
      <c r="F38" s="20">
        <v>14.1</v>
      </c>
      <c r="G38" s="22">
        <v>42983</v>
      </c>
      <c r="H38" s="23" t="s">
        <v>292</v>
      </c>
      <c r="I38" s="23" t="s">
        <v>293</v>
      </c>
      <c r="J38" s="22" t="s">
        <v>47</v>
      </c>
      <c r="K38" s="23" t="s">
        <v>47</v>
      </c>
      <c r="L38" s="23" t="s">
        <v>446</v>
      </c>
      <c r="M38" s="18" t="s">
        <v>446</v>
      </c>
      <c r="N38" s="17">
        <v>-1</v>
      </c>
      <c r="O38" s="18">
        <v>29</v>
      </c>
      <c r="P38" s="50">
        <v>0.96699999999999997</v>
      </c>
    </row>
    <row r="39" spans="1:16" ht="17" customHeight="1" x14ac:dyDescent="0.35">
      <c r="A39" s="17">
        <v>39</v>
      </c>
      <c r="B39" s="17" t="s">
        <v>202</v>
      </c>
      <c r="C39" s="15">
        <v>14.1</v>
      </c>
      <c r="D39" s="22">
        <v>3</v>
      </c>
      <c r="E39" s="22" t="s">
        <v>420</v>
      </c>
      <c r="F39" s="20">
        <v>14.1</v>
      </c>
      <c r="G39" s="22">
        <v>42998</v>
      </c>
      <c r="H39" s="23" t="s">
        <v>294</v>
      </c>
      <c r="I39" s="23" t="s">
        <v>295</v>
      </c>
      <c r="J39" s="19" t="s">
        <v>212</v>
      </c>
      <c r="K39" s="23" t="s">
        <v>212</v>
      </c>
      <c r="L39" s="23" t="s">
        <v>447</v>
      </c>
      <c r="M39" s="18" t="s">
        <v>447</v>
      </c>
      <c r="N39" s="17">
        <v>-15</v>
      </c>
      <c r="O39" s="55">
        <v>15</v>
      </c>
      <c r="P39" s="50">
        <v>0.5</v>
      </c>
    </row>
    <row r="40" spans="1:16" ht="17" customHeight="1" x14ac:dyDescent="0.35">
      <c r="A40" s="17">
        <v>40</v>
      </c>
      <c r="B40" s="17" t="s">
        <v>203</v>
      </c>
      <c r="C40" s="15">
        <v>14.1</v>
      </c>
      <c r="D40" s="22">
        <v>4</v>
      </c>
      <c r="E40" s="22" t="s">
        <v>421</v>
      </c>
      <c r="F40" s="20">
        <v>14.1</v>
      </c>
      <c r="G40" s="22">
        <v>42999</v>
      </c>
      <c r="H40" s="23" t="s">
        <v>296</v>
      </c>
      <c r="I40" s="23" t="s">
        <v>297</v>
      </c>
      <c r="J40" s="22" t="s">
        <v>53</v>
      </c>
      <c r="K40" s="23" t="s">
        <v>211</v>
      </c>
      <c r="L40" s="23" t="s">
        <v>448</v>
      </c>
      <c r="M40" s="18" t="s">
        <v>448</v>
      </c>
      <c r="N40" s="17">
        <v>-8</v>
      </c>
      <c r="O40" s="55">
        <v>22</v>
      </c>
      <c r="P40" s="56">
        <v>0.73299999999999998</v>
      </c>
    </row>
    <row r="41" spans="1:16" ht="17" customHeight="1" x14ac:dyDescent="0.35">
      <c r="A41" s="33">
        <v>41</v>
      </c>
      <c r="B41" s="33"/>
      <c r="C41" s="33"/>
      <c r="D41" s="35"/>
      <c r="E41" s="35" t="s">
        <v>411</v>
      </c>
      <c r="F41" s="36">
        <v>0</v>
      </c>
      <c r="G41" s="35">
        <v>55555</v>
      </c>
      <c r="H41" s="36" t="s">
        <v>412</v>
      </c>
      <c r="I41" s="36" t="s">
        <v>416</v>
      </c>
      <c r="J41" s="35"/>
      <c r="K41" s="36"/>
      <c r="L41" s="36" t="s">
        <v>449</v>
      </c>
      <c r="M41" s="18" t="s">
        <v>449</v>
      </c>
      <c r="N41" s="33"/>
    </row>
    <row r="42" spans="1:16" ht="17" customHeight="1" x14ac:dyDescent="0.35">
      <c r="A42" s="17">
        <v>42</v>
      </c>
      <c r="B42" s="17" t="s">
        <v>203</v>
      </c>
      <c r="C42" s="15">
        <v>14.1</v>
      </c>
      <c r="D42" s="22">
        <v>5</v>
      </c>
      <c r="E42" s="22" t="s">
        <v>422</v>
      </c>
      <c r="F42" s="20">
        <v>14.1</v>
      </c>
      <c r="G42" s="22">
        <v>43023</v>
      </c>
      <c r="H42" s="23" t="s">
        <v>298</v>
      </c>
      <c r="I42" s="23" t="s">
        <v>299</v>
      </c>
      <c r="J42" s="22" t="s">
        <v>56</v>
      </c>
      <c r="K42" s="23" t="s">
        <v>219</v>
      </c>
      <c r="L42" s="23" t="s">
        <v>450</v>
      </c>
      <c r="M42" s="18" t="s">
        <v>450</v>
      </c>
      <c r="N42" s="17">
        <v>-3</v>
      </c>
      <c r="O42" s="18">
        <v>27</v>
      </c>
      <c r="P42" s="50">
        <v>0.9</v>
      </c>
    </row>
    <row r="43" spans="1:16" ht="17" customHeight="1" x14ac:dyDescent="0.35">
      <c r="A43" s="17">
        <v>43</v>
      </c>
      <c r="B43" s="17" t="s">
        <v>203</v>
      </c>
      <c r="C43" s="15">
        <v>14.1</v>
      </c>
      <c r="D43" s="22">
        <v>6</v>
      </c>
      <c r="E43" s="22" t="s">
        <v>423</v>
      </c>
      <c r="F43" s="20">
        <v>14.1</v>
      </c>
      <c r="G43" s="22">
        <v>43032</v>
      </c>
      <c r="H43" s="23" t="s">
        <v>300</v>
      </c>
      <c r="I43" s="23" t="s">
        <v>301</v>
      </c>
      <c r="J43" s="22" t="s">
        <v>59</v>
      </c>
      <c r="K43" s="23" t="s">
        <v>220</v>
      </c>
      <c r="L43" s="23" t="s">
        <v>442</v>
      </c>
      <c r="M43" s="18" t="s">
        <v>442</v>
      </c>
      <c r="N43" s="37"/>
    </row>
    <row r="44" spans="1:16" ht="17" customHeight="1" x14ac:dyDescent="0.35">
      <c r="A44" s="17">
        <v>44</v>
      </c>
      <c r="B44" s="17" t="s">
        <v>204</v>
      </c>
      <c r="C44" s="15">
        <v>14.1</v>
      </c>
      <c r="D44" s="22">
        <v>7</v>
      </c>
      <c r="E44" s="22" t="s">
        <v>424</v>
      </c>
      <c r="F44" s="20">
        <v>14.1</v>
      </c>
      <c r="G44" s="22">
        <v>43034</v>
      </c>
      <c r="H44" s="23" t="s">
        <v>302</v>
      </c>
      <c r="I44" s="23" t="s">
        <v>303</v>
      </c>
      <c r="J44" s="22" t="s">
        <v>62</v>
      </c>
      <c r="K44" s="23" t="s">
        <v>210</v>
      </c>
      <c r="L44" s="23" t="s">
        <v>441</v>
      </c>
      <c r="M44" s="18" t="s">
        <v>441</v>
      </c>
      <c r="N44" s="17">
        <v>-18</v>
      </c>
      <c r="O44" s="55">
        <v>12</v>
      </c>
      <c r="P44" s="56">
        <v>0.4</v>
      </c>
    </row>
    <row r="45" spans="1:16" ht="17" customHeight="1" x14ac:dyDescent="0.35">
      <c r="A45" s="17">
        <v>45</v>
      </c>
      <c r="B45" s="17" t="s">
        <v>204</v>
      </c>
      <c r="C45" s="15">
        <v>14.1</v>
      </c>
      <c r="D45" s="22">
        <v>8</v>
      </c>
      <c r="E45" s="22" t="s">
        <v>425</v>
      </c>
      <c r="F45" s="20">
        <v>14.1</v>
      </c>
      <c r="G45" s="22">
        <v>43056</v>
      </c>
      <c r="H45" s="23" t="s">
        <v>304</v>
      </c>
      <c r="I45" s="23" t="s">
        <v>305</v>
      </c>
      <c r="J45" s="22" t="s">
        <v>65</v>
      </c>
      <c r="K45" s="23" t="s">
        <v>218</v>
      </c>
      <c r="L45" s="23" t="s">
        <v>439</v>
      </c>
      <c r="M45" s="18" t="s">
        <v>439</v>
      </c>
      <c r="N45" s="17">
        <v>-7</v>
      </c>
      <c r="O45" s="55">
        <v>23</v>
      </c>
      <c r="P45" s="56">
        <v>0.76700000000000002</v>
      </c>
    </row>
    <row r="46" spans="1:16" ht="17" customHeight="1" x14ac:dyDescent="0.35">
      <c r="A46" s="17">
        <v>46</v>
      </c>
      <c r="B46" s="17" t="s">
        <v>204</v>
      </c>
      <c r="C46" s="15">
        <v>14.1</v>
      </c>
      <c r="D46" s="22">
        <v>9</v>
      </c>
      <c r="E46" s="22" t="s">
        <v>426</v>
      </c>
      <c r="F46" s="20">
        <v>14.1</v>
      </c>
      <c r="G46" s="22">
        <v>44558</v>
      </c>
      <c r="H46" s="23" t="s">
        <v>306</v>
      </c>
      <c r="I46" s="23" t="s">
        <v>307</v>
      </c>
      <c r="J46" s="22" t="s">
        <v>68</v>
      </c>
      <c r="K46" s="23" t="s">
        <v>214</v>
      </c>
      <c r="L46" s="23" t="s">
        <v>451</v>
      </c>
      <c r="M46" s="18" t="s">
        <v>451</v>
      </c>
      <c r="N46" s="17">
        <v>-2</v>
      </c>
      <c r="O46" s="18">
        <v>28</v>
      </c>
      <c r="P46" s="50">
        <v>0.93300000000000005</v>
      </c>
    </row>
    <row r="47" spans="1:16" ht="17" customHeight="1" x14ac:dyDescent="0.35">
      <c r="A47" s="17">
        <v>47</v>
      </c>
      <c r="B47" s="17" t="s">
        <v>204</v>
      </c>
      <c r="C47" s="15">
        <v>14.1</v>
      </c>
      <c r="D47" s="22">
        <v>10</v>
      </c>
      <c r="E47" s="22" t="s">
        <v>427</v>
      </c>
      <c r="F47" s="20">
        <v>14.1</v>
      </c>
      <c r="G47" s="22">
        <v>44563</v>
      </c>
      <c r="H47" s="23" t="s">
        <v>217</v>
      </c>
      <c r="I47" s="23" t="s">
        <v>308</v>
      </c>
      <c r="J47" s="22" t="s">
        <v>71</v>
      </c>
      <c r="K47" s="23" t="s">
        <v>217</v>
      </c>
      <c r="L47" s="23" t="s">
        <v>443</v>
      </c>
      <c r="M47" s="18" t="s">
        <v>443</v>
      </c>
      <c r="N47" s="17">
        <v>30</v>
      </c>
      <c r="O47" s="18">
        <v>30</v>
      </c>
      <c r="P47" s="50">
        <v>1</v>
      </c>
    </row>
    <row r="48" spans="1:16" ht="17" customHeight="1" x14ac:dyDescent="0.35">
      <c r="A48" s="17">
        <v>48</v>
      </c>
      <c r="B48" s="17" t="s">
        <v>204</v>
      </c>
      <c r="C48" s="15">
        <v>14.1</v>
      </c>
      <c r="D48" s="22">
        <v>11</v>
      </c>
      <c r="E48" s="22" t="s">
        <v>428</v>
      </c>
      <c r="F48" s="20">
        <v>14.1</v>
      </c>
      <c r="G48" s="22">
        <v>44589</v>
      </c>
      <c r="H48" s="23" t="s">
        <v>309</v>
      </c>
      <c r="I48" s="23" t="s">
        <v>310</v>
      </c>
      <c r="J48" s="22" t="s">
        <v>74</v>
      </c>
      <c r="K48" s="23" t="s">
        <v>215</v>
      </c>
      <c r="L48" s="23" t="s">
        <v>452</v>
      </c>
      <c r="M48" s="18" t="s">
        <v>452</v>
      </c>
      <c r="N48" s="17">
        <v>-23</v>
      </c>
      <c r="O48" s="55">
        <v>7</v>
      </c>
      <c r="P48" s="56">
        <v>0.23300000000000001</v>
      </c>
    </row>
    <row r="49" spans="1:16" ht="17" customHeight="1" x14ac:dyDescent="0.35">
      <c r="A49" s="17">
        <v>49</v>
      </c>
      <c r="B49" s="17" t="s">
        <v>205</v>
      </c>
      <c r="C49" s="15">
        <v>14.1</v>
      </c>
      <c r="D49" s="22">
        <v>12</v>
      </c>
      <c r="E49" s="22" t="s">
        <v>429</v>
      </c>
      <c r="F49" s="20">
        <v>14.1</v>
      </c>
      <c r="G49" s="22">
        <v>45165</v>
      </c>
      <c r="H49" s="23" t="s">
        <v>311</v>
      </c>
      <c r="I49" s="23" t="s">
        <v>312</v>
      </c>
      <c r="J49" s="22" t="s">
        <v>77</v>
      </c>
      <c r="K49" s="23" t="s">
        <v>77</v>
      </c>
      <c r="L49" s="23" t="s">
        <v>453</v>
      </c>
      <c r="M49" s="18" t="s">
        <v>453</v>
      </c>
      <c r="N49" s="17">
        <v>-3</v>
      </c>
      <c r="O49" s="18">
        <v>27</v>
      </c>
      <c r="P49" s="50">
        <v>0.9</v>
      </c>
    </row>
    <row r="50" spans="1:16" ht="17" customHeight="1" x14ac:dyDescent="0.35">
      <c r="A50" s="17">
        <v>50</v>
      </c>
      <c r="B50" s="17" t="s">
        <v>205</v>
      </c>
      <c r="C50" s="15">
        <v>14.1</v>
      </c>
      <c r="D50" s="22">
        <v>13</v>
      </c>
      <c r="E50" s="22" t="s">
        <v>430</v>
      </c>
      <c r="F50" s="20">
        <v>14.1</v>
      </c>
      <c r="G50" s="22">
        <v>45875</v>
      </c>
      <c r="H50" s="23" t="s">
        <v>313</v>
      </c>
      <c r="I50" s="23" t="s">
        <v>314</v>
      </c>
      <c r="J50" s="22" t="s">
        <v>80</v>
      </c>
      <c r="K50" s="23" t="s">
        <v>80</v>
      </c>
      <c r="L50" s="23" t="s">
        <v>440</v>
      </c>
      <c r="M50" s="18" t="s">
        <v>440</v>
      </c>
      <c r="N50" s="17">
        <v>-23</v>
      </c>
      <c r="O50" s="55">
        <v>7</v>
      </c>
      <c r="P50" s="56">
        <v>0.23300000000000001</v>
      </c>
    </row>
    <row r="51" spans="1:16" ht="17" customHeight="1" x14ac:dyDescent="0.35">
      <c r="A51" s="33">
        <v>51</v>
      </c>
      <c r="B51" s="33"/>
      <c r="C51" s="33"/>
      <c r="D51" s="35"/>
      <c r="E51" s="35" t="s">
        <v>413</v>
      </c>
      <c r="F51" s="36">
        <v>0</v>
      </c>
      <c r="G51" s="35">
        <v>55555</v>
      </c>
      <c r="H51" s="36" t="s">
        <v>412</v>
      </c>
      <c r="I51" s="36" t="s">
        <v>416</v>
      </c>
      <c r="J51" s="35"/>
      <c r="K51" s="36"/>
      <c r="L51" s="36" t="s">
        <v>454</v>
      </c>
      <c r="M51" s="18" t="s">
        <v>454</v>
      </c>
      <c r="N51" s="33"/>
    </row>
    <row r="52" spans="1:16" ht="17" customHeight="1" x14ac:dyDescent="0.35">
      <c r="A52" s="17">
        <v>52</v>
      </c>
      <c r="B52" s="17" t="s">
        <v>205</v>
      </c>
      <c r="C52" s="15">
        <v>14.1</v>
      </c>
      <c r="D52" s="22">
        <v>14</v>
      </c>
      <c r="E52" s="17" t="s">
        <v>414</v>
      </c>
      <c r="F52" s="20">
        <v>14.1</v>
      </c>
      <c r="G52" s="22">
        <v>45892</v>
      </c>
      <c r="H52" s="23" t="s">
        <v>315</v>
      </c>
      <c r="I52" s="23" t="s">
        <v>316</v>
      </c>
      <c r="J52" s="22" t="s">
        <v>83</v>
      </c>
      <c r="K52" s="22" t="s">
        <v>83</v>
      </c>
      <c r="L52" s="22" t="s">
        <v>445</v>
      </c>
      <c r="M52" s="18" t="s">
        <v>445</v>
      </c>
      <c r="N52" s="17">
        <v>17</v>
      </c>
      <c r="O52" s="55">
        <v>17</v>
      </c>
      <c r="P52" s="56">
        <v>0.56699999999999995</v>
      </c>
    </row>
    <row r="53" spans="1:16" ht="17" customHeight="1" x14ac:dyDescent="0.35">
      <c r="A53" s="17">
        <v>53</v>
      </c>
      <c r="B53" s="17" t="s">
        <v>205</v>
      </c>
      <c r="C53" s="15">
        <v>14.1</v>
      </c>
      <c r="D53" s="22">
        <v>15</v>
      </c>
      <c r="E53" s="17" t="s">
        <v>415</v>
      </c>
      <c r="F53" s="20">
        <v>14.1</v>
      </c>
      <c r="G53" s="22">
        <v>46491</v>
      </c>
      <c r="H53" s="23" t="s">
        <v>317</v>
      </c>
      <c r="I53" s="23" t="s">
        <v>318</v>
      </c>
      <c r="J53" s="22" t="s">
        <v>86</v>
      </c>
      <c r="K53" s="23" t="s">
        <v>216</v>
      </c>
      <c r="L53" s="23" t="s">
        <v>455</v>
      </c>
      <c r="M53" s="18" t="s">
        <v>455</v>
      </c>
      <c r="N53" s="17">
        <v>-7</v>
      </c>
      <c r="O53" s="55">
        <v>23</v>
      </c>
      <c r="P53" s="56">
        <v>0.76700000000000002</v>
      </c>
    </row>
    <row r="54" spans="1:16" ht="17" customHeight="1" x14ac:dyDescent="0.35">
      <c r="A54" s="17">
        <v>54</v>
      </c>
      <c r="B54" s="15" t="s">
        <v>208</v>
      </c>
      <c r="C54" s="15">
        <v>15.3</v>
      </c>
      <c r="D54" s="24" t="s">
        <v>195</v>
      </c>
      <c r="E54" s="15" t="s">
        <v>417</v>
      </c>
      <c r="F54" s="20">
        <v>15.3</v>
      </c>
      <c r="G54" s="19"/>
      <c r="H54" s="20" t="s">
        <v>233</v>
      </c>
      <c r="I54" s="20" t="s">
        <v>233</v>
      </c>
      <c r="J54" s="19"/>
      <c r="K54" s="20"/>
      <c r="L54" s="20"/>
      <c r="N54" s="15"/>
    </row>
    <row r="55" spans="1:16" ht="17" customHeight="1" x14ac:dyDescent="0.35">
      <c r="A55" s="17">
        <v>55</v>
      </c>
      <c r="B55" s="17" t="s">
        <v>202</v>
      </c>
      <c r="C55" s="15">
        <v>15.3</v>
      </c>
      <c r="D55" s="25">
        <v>1</v>
      </c>
      <c r="E55" s="22" t="s">
        <v>418</v>
      </c>
      <c r="F55" s="20">
        <v>15.3</v>
      </c>
      <c r="G55" s="26">
        <v>43162</v>
      </c>
      <c r="H55" s="23" t="s">
        <v>319</v>
      </c>
      <c r="I55" s="23" t="s">
        <v>320</v>
      </c>
      <c r="J55" s="25" t="s">
        <v>196</v>
      </c>
      <c r="K55" s="23" t="s">
        <v>396</v>
      </c>
      <c r="L55" s="23" t="s">
        <v>444</v>
      </c>
      <c r="M55" s="18" t="s">
        <v>444</v>
      </c>
      <c r="N55" s="17">
        <v>-7</v>
      </c>
      <c r="O55" s="55">
        <v>23</v>
      </c>
      <c r="P55" s="56">
        <v>0.76700000000000002</v>
      </c>
    </row>
    <row r="56" spans="1:16" ht="17" customHeight="1" x14ac:dyDescent="0.35">
      <c r="A56" s="17">
        <v>56</v>
      </c>
      <c r="B56" s="17" t="s">
        <v>202</v>
      </c>
      <c r="C56" s="15">
        <v>15.3</v>
      </c>
      <c r="D56" s="25">
        <v>2</v>
      </c>
      <c r="E56" s="22" t="s">
        <v>419</v>
      </c>
      <c r="F56" s="20">
        <v>15.3</v>
      </c>
      <c r="G56" s="25">
        <v>43172</v>
      </c>
      <c r="H56" s="23" t="s">
        <v>321</v>
      </c>
      <c r="I56" s="23" t="s">
        <v>322</v>
      </c>
      <c r="J56" s="25" t="s">
        <v>197</v>
      </c>
      <c r="K56" s="23" t="s">
        <v>389</v>
      </c>
      <c r="L56" s="23" t="s">
        <v>446</v>
      </c>
      <c r="M56" s="18" t="s">
        <v>446</v>
      </c>
      <c r="N56" s="17">
        <v>-4</v>
      </c>
      <c r="O56" s="18">
        <v>26</v>
      </c>
      <c r="P56" s="50">
        <v>0.86699999999999999</v>
      </c>
    </row>
    <row r="57" spans="1:16" ht="17" customHeight="1" x14ac:dyDescent="0.35">
      <c r="A57" s="17">
        <v>57</v>
      </c>
      <c r="B57" s="17" t="s">
        <v>202</v>
      </c>
      <c r="C57" s="15">
        <v>15.3</v>
      </c>
      <c r="D57" s="25">
        <v>3</v>
      </c>
      <c r="E57" s="22" t="s">
        <v>420</v>
      </c>
      <c r="F57" s="20">
        <v>15.3</v>
      </c>
      <c r="G57" s="25">
        <v>43225</v>
      </c>
      <c r="H57" s="23" t="s">
        <v>323</v>
      </c>
      <c r="I57" s="23" t="s">
        <v>324</v>
      </c>
      <c r="J57" s="25" t="s">
        <v>186</v>
      </c>
      <c r="K57" s="23" t="s">
        <v>384</v>
      </c>
      <c r="L57" s="23" t="s">
        <v>447</v>
      </c>
      <c r="M57" s="18" t="s">
        <v>447</v>
      </c>
      <c r="N57" s="17">
        <v>-22</v>
      </c>
      <c r="O57" s="55">
        <v>8</v>
      </c>
      <c r="P57" s="56">
        <v>0.26700000000000002</v>
      </c>
    </row>
    <row r="58" spans="1:16" ht="17" customHeight="1" x14ac:dyDescent="0.35">
      <c r="A58" s="17">
        <v>58</v>
      </c>
      <c r="B58" s="17" t="s">
        <v>203</v>
      </c>
      <c r="C58" s="15">
        <v>15.3</v>
      </c>
      <c r="D58" s="27">
        <v>4</v>
      </c>
      <c r="E58" s="22" t="s">
        <v>421</v>
      </c>
      <c r="F58" s="20">
        <v>15.3</v>
      </c>
      <c r="G58" s="25">
        <v>43245</v>
      </c>
      <c r="H58" s="23" t="s">
        <v>59</v>
      </c>
      <c r="I58" s="23" t="s">
        <v>325</v>
      </c>
      <c r="J58" s="25" t="s">
        <v>188</v>
      </c>
      <c r="K58" s="23" t="s">
        <v>392</v>
      </c>
      <c r="L58" s="23" t="s">
        <v>448</v>
      </c>
      <c r="M58" s="18" t="s">
        <v>448</v>
      </c>
      <c r="N58" s="17">
        <v>-10</v>
      </c>
      <c r="O58" s="55">
        <v>20</v>
      </c>
      <c r="P58" s="56">
        <v>0.66700000000000004</v>
      </c>
    </row>
    <row r="59" spans="1:16" ht="17" customHeight="1" x14ac:dyDescent="0.35">
      <c r="A59" s="33">
        <v>59</v>
      </c>
      <c r="B59" s="33"/>
      <c r="C59" s="33"/>
      <c r="D59" s="43"/>
      <c r="E59" s="35" t="s">
        <v>411</v>
      </c>
      <c r="F59" s="36">
        <v>0</v>
      </c>
      <c r="G59" s="35">
        <v>55555</v>
      </c>
      <c r="H59" s="36" t="s">
        <v>412</v>
      </c>
      <c r="I59" s="36" t="s">
        <v>416</v>
      </c>
      <c r="J59" s="45"/>
      <c r="K59" s="36"/>
      <c r="L59" s="36" t="s">
        <v>449</v>
      </c>
      <c r="M59" s="18" t="s">
        <v>449</v>
      </c>
      <c r="N59" s="33"/>
    </row>
    <row r="60" spans="1:16" ht="17" customHeight="1" x14ac:dyDescent="0.35">
      <c r="A60" s="17">
        <v>60</v>
      </c>
      <c r="B60" s="17" t="s">
        <v>203</v>
      </c>
      <c r="C60" s="15">
        <v>15.3</v>
      </c>
      <c r="D60" s="27">
        <v>5</v>
      </c>
      <c r="E60" s="22" t="s">
        <v>422</v>
      </c>
      <c r="F60" s="20">
        <v>15.3</v>
      </c>
      <c r="G60" s="25">
        <v>43249</v>
      </c>
      <c r="H60" s="23" t="s">
        <v>326</v>
      </c>
      <c r="I60" s="23" t="s">
        <v>327</v>
      </c>
      <c r="J60" s="27" t="s">
        <v>199</v>
      </c>
      <c r="K60" s="23" t="s">
        <v>390</v>
      </c>
      <c r="L60" s="23" t="s">
        <v>450</v>
      </c>
      <c r="M60" s="18" t="s">
        <v>450</v>
      </c>
      <c r="N60" s="17">
        <v>-3</v>
      </c>
      <c r="O60" s="18">
        <v>27</v>
      </c>
      <c r="P60" s="50">
        <v>0.9</v>
      </c>
    </row>
    <row r="61" spans="1:16" ht="17" customHeight="1" x14ac:dyDescent="0.35">
      <c r="A61" s="17">
        <v>61</v>
      </c>
      <c r="B61" s="17" t="s">
        <v>203</v>
      </c>
      <c r="C61" s="15">
        <v>15.3</v>
      </c>
      <c r="D61" s="27">
        <v>6</v>
      </c>
      <c r="E61" s="22" t="s">
        <v>423</v>
      </c>
      <c r="F61" s="20">
        <v>15.3</v>
      </c>
      <c r="G61" s="25">
        <v>43261</v>
      </c>
      <c r="H61" s="23" t="s">
        <v>328</v>
      </c>
      <c r="I61" s="23" t="s">
        <v>329</v>
      </c>
      <c r="J61" s="25" t="s">
        <v>190</v>
      </c>
      <c r="K61" s="23" t="s">
        <v>385</v>
      </c>
      <c r="L61" s="23" t="s">
        <v>442</v>
      </c>
      <c r="M61" s="18" t="s">
        <v>442</v>
      </c>
      <c r="N61" s="17">
        <v>-7</v>
      </c>
      <c r="O61" s="55">
        <v>23</v>
      </c>
      <c r="P61" s="56">
        <v>0.76700000000000002</v>
      </c>
    </row>
    <row r="62" spans="1:16" ht="17" customHeight="1" x14ac:dyDescent="0.35">
      <c r="A62" s="17">
        <v>62</v>
      </c>
      <c r="B62" s="17" t="s">
        <v>204</v>
      </c>
      <c r="C62" s="15">
        <v>15.3</v>
      </c>
      <c r="D62" s="27">
        <v>7</v>
      </c>
      <c r="E62" s="22" t="s">
        <v>424</v>
      </c>
      <c r="F62" s="20">
        <v>15.3</v>
      </c>
      <c r="G62" s="27">
        <v>43262</v>
      </c>
      <c r="H62" s="23" t="s">
        <v>330</v>
      </c>
      <c r="I62" s="23" t="s">
        <v>331</v>
      </c>
      <c r="J62" s="25" t="s">
        <v>192</v>
      </c>
      <c r="K62" s="23" t="s">
        <v>391</v>
      </c>
      <c r="L62" s="23" t="s">
        <v>441</v>
      </c>
      <c r="M62" s="18" t="s">
        <v>441</v>
      </c>
      <c r="N62" s="17">
        <v>-4</v>
      </c>
      <c r="O62" s="18">
        <v>26</v>
      </c>
      <c r="P62" s="50">
        <v>0.86699999999999999</v>
      </c>
    </row>
    <row r="63" spans="1:16" ht="17" customHeight="1" x14ac:dyDescent="0.35">
      <c r="A63" s="17">
        <v>63</v>
      </c>
      <c r="B63" s="17" t="s">
        <v>204</v>
      </c>
      <c r="C63" s="15">
        <v>15.3</v>
      </c>
      <c r="D63" s="27">
        <v>8</v>
      </c>
      <c r="E63" s="22" t="s">
        <v>425</v>
      </c>
      <c r="F63" s="20">
        <v>15.3</v>
      </c>
      <c r="G63" s="27">
        <v>43265</v>
      </c>
      <c r="H63" s="23" t="s">
        <v>332</v>
      </c>
      <c r="I63" s="23" t="s">
        <v>333</v>
      </c>
      <c r="J63" s="25" t="s">
        <v>194</v>
      </c>
      <c r="K63" s="23" t="s">
        <v>386</v>
      </c>
      <c r="L63" s="23" t="s">
        <v>439</v>
      </c>
      <c r="M63" s="18" t="s">
        <v>439</v>
      </c>
      <c r="N63" s="17">
        <v>-8</v>
      </c>
      <c r="O63" s="55">
        <v>22</v>
      </c>
      <c r="P63" s="56">
        <v>0.73299999999999998</v>
      </c>
    </row>
    <row r="64" spans="1:16" ht="17" customHeight="1" x14ac:dyDescent="0.35">
      <c r="A64" s="17">
        <v>64</v>
      </c>
      <c r="B64" s="17" t="s">
        <v>204</v>
      </c>
      <c r="C64" s="15">
        <v>15.3</v>
      </c>
      <c r="D64" s="27">
        <v>9</v>
      </c>
      <c r="E64" s="22" t="s">
        <v>426</v>
      </c>
      <c r="F64" s="20">
        <v>15.3</v>
      </c>
      <c r="G64" s="27">
        <v>46953</v>
      </c>
      <c r="H64" s="23" t="s">
        <v>349</v>
      </c>
      <c r="I64" s="23" t="s">
        <v>350</v>
      </c>
      <c r="J64" s="19" t="s">
        <v>382</v>
      </c>
      <c r="K64" s="23" t="s">
        <v>349</v>
      </c>
      <c r="L64" s="23" t="s">
        <v>451</v>
      </c>
      <c r="M64" s="18" t="s">
        <v>451</v>
      </c>
      <c r="N64" s="17">
        <v>-2</v>
      </c>
      <c r="O64" s="18">
        <v>28</v>
      </c>
      <c r="P64" s="50">
        <v>0.93300000000000005</v>
      </c>
    </row>
    <row r="65" spans="1:16" ht="17" customHeight="1" x14ac:dyDescent="0.35">
      <c r="A65" s="17">
        <v>65</v>
      </c>
      <c r="B65" s="17" t="s">
        <v>204</v>
      </c>
      <c r="C65" s="15">
        <v>15.3</v>
      </c>
      <c r="D65" s="27">
        <v>10</v>
      </c>
      <c r="E65" s="22" t="s">
        <v>427</v>
      </c>
      <c r="F65" s="20">
        <v>15.3</v>
      </c>
      <c r="G65" s="27">
        <v>46958</v>
      </c>
      <c r="H65" s="23" t="s">
        <v>351</v>
      </c>
      <c r="I65" s="23" t="s">
        <v>352</v>
      </c>
      <c r="J65" s="19" t="s">
        <v>381</v>
      </c>
      <c r="K65" s="23" t="s">
        <v>388</v>
      </c>
      <c r="L65" s="23" t="s">
        <v>443</v>
      </c>
      <c r="M65" s="18" t="s">
        <v>443</v>
      </c>
      <c r="N65" s="17">
        <v>-4</v>
      </c>
      <c r="O65" s="18">
        <v>26</v>
      </c>
      <c r="P65" s="50">
        <v>0.86699999999999999</v>
      </c>
    </row>
    <row r="66" spans="1:16" ht="17" customHeight="1" x14ac:dyDescent="0.35">
      <c r="A66" s="17">
        <v>66</v>
      </c>
      <c r="B66" s="17" t="s">
        <v>205</v>
      </c>
      <c r="C66" s="15">
        <v>15.3</v>
      </c>
      <c r="D66" s="27">
        <v>11</v>
      </c>
      <c r="E66" s="22" t="s">
        <v>428</v>
      </c>
      <c r="F66" s="20">
        <v>15.3</v>
      </c>
      <c r="G66" s="27">
        <v>47035</v>
      </c>
      <c r="H66" s="23" t="s">
        <v>353</v>
      </c>
      <c r="I66" s="23" t="s">
        <v>354</v>
      </c>
      <c r="J66" s="19" t="s">
        <v>380</v>
      </c>
      <c r="K66" s="20"/>
      <c r="L66" s="20" t="s">
        <v>452</v>
      </c>
      <c r="M66" s="18" t="s">
        <v>452</v>
      </c>
      <c r="N66" s="17">
        <v>-22</v>
      </c>
      <c r="O66" s="55">
        <v>8</v>
      </c>
      <c r="P66" s="56">
        <v>0.26700000000000002</v>
      </c>
    </row>
    <row r="67" spans="1:16" ht="17" customHeight="1" x14ac:dyDescent="0.35">
      <c r="A67" s="17">
        <v>67</v>
      </c>
      <c r="B67" s="17" t="s">
        <v>205</v>
      </c>
      <c r="C67" s="15">
        <v>15.3</v>
      </c>
      <c r="D67" s="27">
        <v>12</v>
      </c>
      <c r="E67" s="22" t="s">
        <v>429</v>
      </c>
      <c r="F67" s="20">
        <v>15.3</v>
      </c>
      <c r="G67" s="27">
        <v>47064</v>
      </c>
      <c r="H67" s="23" t="s">
        <v>355</v>
      </c>
      <c r="I67" s="23" t="s">
        <v>356</v>
      </c>
      <c r="J67" s="19" t="s">
        <v>379</v>
      </c>
      <c r="K67" s="23" t="s">
        <v>393</v>
      </c>
      <c r="L67" s="23" t="s">
        <v>453</v>
      </c>
      <c r="M67" s="18" t="s">
        <v>453</v>
      </c>
      <c r="N67" s="17">
        <v>-15</v>
      </c>
      <c r="O67" s="55">
        <v>15</v>
      </c>
      <c r="P67" s="56">
        <v>0.5</v>
      </c>
    </row>
    <row r="68" spans="1:16" ht="17" customHeight="1" x14ac:dyDescent="0.35">
      <c r="A68" s="17">
        <v>68</v>
      </c>
      <c r="B68" s="17" t="s">
        <v>205</v>
      </c>
      <c r="C68" s="15">
        <v>15.3</v>
      </c>
      <c r="D68" s="27">
        <v>13</v>
      </c>
      <c r="E68" s="22" t="s">
        <v>430</v>
      </c>
      <c r="F68" s="20">
        <v>15.3</v>
      </c>
      <c r="G68" s="28">
        <v>47074</v>
      </c>
      <c r="H68" s="23" t="s">
        <v>357</v>
      </c>
      <c r="I68" s="23" t="s">
        <v>358</v>
      </c>
      <c r="J68" s="19" t="s">
        <v>378</v>
      </c>
      <c r="K68" s="23" t="s">
        <v>387</v>
      </c>
      <c r="L68" s="23" t="s">
        <v>440</v>
      </c>
      <c r="M68" s="18" t="s">
        <v>440</v>
      </c>
      <c r="N68" s="17">
        <v>-12</v>
      </c>
      <c r="O68" s="55">
        <v>18</v>
      </c>
      <c r="P68" s="56">
        <v>0.6</v>
      </c>
    </row>
    <row r="69" spans="1:16" ht="17" customHeight="1" x14ac:dyDescent="0.35">
      <c r="A69" s="33">
        <v>69</v>
      </c>
      <c r="B69" s="33"/>
      <c r="C69" s="33"/>
      <c r="D69" s="43"/>
      <c r="E69" s="35" t="s">
        <v>413</v>
      </c>
      <c r="F69" s="36">
        <v>0</v>
      </c>
      <c r="G69" s="35">
        <v>55555</v>
      </c>
      <c r="H69" s="36" t="s">
        <v>412</v>
      </c>
      <c r="I69" s="36" t="s">
        <v>416</v>
      </c>
      <c r="J69" s="35"/>
      <c r="K69" s="36"/>
      <c r="L69" s="36" t="s">
        <v>454</v>
      </c>
      <c r="M69" s="18" t="s">
        <v>454</v>
      </c>
      <c r="N69" s="33"/>
    </row>
    <row r="70" spans="1:16" ht="17" customHeight="1" x14ac:dyDescent="0.35">
      <c r="A70" s="17">
        <v>70</v>
      </c>
      <c r="B70" s="17" t="s">
        <v>205</v>
      </c>
      <c r="C70" s="15">
        <v>15.3</v>
      </c>
      <c r="D70" s="27">
        <v>14</v>
      </c>
      <c r="E70" s="17" t="s">
        <v>414</v>
      </c>
      <c r="F70" s="20">
        <v>15.3</v>
      </c>
      <c r="G70" s="28">
        <v>47086</v>
      </c>
      <c r="H70" s="20" t="s">
        <v>395</v>
      </c>
      <c r="I70" s="20" t="s">
        <v>383</v>
      </c>
      <c r="J70" s="19" t="s">
        <v>377</v>
      </c>
      <c r="K70" s="23" t="s">
        <v>394</v>
      </c>
      <c r="L70" s="23" t="s">
        <v>445</v>
      </c>
      <c r="M70" s="18" t="s">
        <v>445</v>
      </c>
      <c r="N70" s="17">
        <v>-26</v>
      </c>
      <c r="O70" s="55">
        <v>4</v>
      </c>
      <c r="P70" s="56">
        <v>0.13300000000000001</v>
      </c>
    </row>
    <row r="71" spans="1:16" ht="17" customHeight="1" x14ac:dyDescent="0.35">
      <c r="A71" s="17">
        <v>71</v>
      </c>
      <c r="B71" s="15"/>
      <c r="C71" s="15"/>
      <c r="D71" s="31"/>
      <c r="E71" s="15" t="s">
        <v>417</v>
      </c>
      <c r="F71" s="20">
        <v>16.2</v>
      </c>
      <c r="G71" s="38"/>
      <c r="H71" s="20"/>
      <c r="I71" s="20"/>
      <c r="J71" s="19"/>
      <c r="K71" s="20"/>
      <c r="L71" s="20"/>
      <c r="N71" s="15"/>
    </row>
    <row r="72" spans="1:16" ht="17" customHeight="1" x14ac:dyDescent="0.35">
      <c r="A72" s="17">
        <v>72</v>
      </c>
      <c r="B72" s="33" t="s">
        <v>209</v>
      </c>
      <c r="C72" s="33">
        <v>16.2</v>
      </c>
      <c r="D72" s="34" t="s">
        <v>200</v>
      </c>
      <c r="E72" s="35" t="s">
        <v>418</v>
      </c>
      <c r="F72" s="36">
        <v>16.2</v>
      </c>
      <c r="G72" s="39">
        <v>46948</v>
      </c>
      <c r="H72" s="36" t="s">
        <v>398</v>
      </c>
      <c r="I72" s="36" t="s">
        <v>399</v>
      </c>
      <c r="J72" s="35" t="s">
        <v>397</v>
      </c>
      <c r="K72" s="36" t="s">
        <v>397</v>
      </c>
      <c r="L72" s="36" t="s">
        <v>444</v>
      </c>
      <c r="M72" s="18" t="s">
        <v>444</v>
      </c>
      <c r="N72" s="33">
        <v>-3</v>
      </c>
      <c r="O72" s="18">
        <v>27</v>
      </c>
      <c r="P72" s="50">
        <v>0.9</v>
      </c>
    </row>
    <row r="73" spans="1:16" ht="17" customHeight="1" x14ac:dyDescent="0.35">
      <c r="A73" s="17">
        <v>73</v>
      </c>
      <c r="B73" s="17" t="s">
        <v>202</v>
      </c>
      <c r="C73" s="15">
        <v>16.2</v>
      </c>
      <c r="D73" s="22">
        <v>1</v>
      </c>
      <c r="E73" s="22" t="s">
        <v>419</v>
      </c>
      <c r="F73" s="20">
        <v>16.2</v>
      </c>
      <c r="G73" s="22">
        <v>43045</v>
      </c>
      <c r="H73" s="23" t="s">
        <v>334</v>
      </c>
      <c r="I73" s="23" t="s">
        <v>335</v>
      </c>
      <c r="J73" s="22" t="s">
        <v>182</v>
      </c>
      <c r="K73" s="23" t="s">
        <v>361</v>
      </c>
      <c r="L73" s="23" t="s">
        <v>446</v>
      </c>
      <c r="M73" s="18" t="s">
        <v>446</v>
      </c>
      <c r="N73" s="17">
        <v>30</v>
      </c>
      <c r="O73" s="18">
        <v>30</v>
      </c>
      <c r="P73" s="50">
        <v>1</v>
      </c>
    </row>
    <row r="74" spans="1:16" ht="17" customHeight="1" x14ac:dyDescent="0.35">
      <c r="A74" s="17">
        <v>74</v>
      </c>
      <c r="B74" s="17" t="s">
        <v>202</v>
      </c>
      <c r="C74" s="15">
        <v>16.2</v>
      </c>
      <c r="D74" s="22">
        <v>2</v>
      </c>
      <c r="E74" s="22" t="s">
        <v>420</v>
      </c>
      <c r="F74" s="20">
        <v>16.2</v>
      </c>
      <c r="G74" s="22">
        <v>43055</v>
      </c>
      <c r="H74" s="23" t="s">
        <v>336</v>
      </c>
      <c r="I74" s="23" t="s">
        <v>337</v>
      </c>
      <c r="J74" s="22" t="s">
        <v>156</v>
      </c>
      <c r="K74" s="23" t="s">
        <v>156</v>
      </c>
      <c r="L74" s="23" t="s">
        <v>447</v>
      </c>
      <c r="M74" s="18" t="s">
        <v>447</v>
      </c>
      <c r="N74" s="17">
        <v>-2</v>
      </c>
      <c r="O74" s="18">
        <v>28</v>
      </c>
      <c r="P74" s="50">
        <v>0.93300000000000005</v>
      </c>
    </row>
    <row r="75" spans="1:16" ht="17" customHeight="1" x14ac:dyDescent="0.35">
      <c r="A75" s="17">
        <v>75</v>
      </c>
      <c r="B75" s="17" t="s">
        <v>202</v>
      </c>
      <c r="C75" s="15">
        <v>16.2</v>
      </c>
      <c r="D75" s="22">
        <v>3</v>
      </c>
      <c r="E75" s="22" t="s">
        <v>421</v>
      </c>
      <c r="F75" s="20">
        <v>16.2</v>
      </c>
      <c r="G75" s="22">
        <v>43063</v>
      </c>
      <c r="H75" s="23" t="s">
        <v>338</v>
      </c>
      <c r="I75" s="23" t="s">
        <v>339</v>
      </c>
      <c r="J75" s="22" t="s">
        <v>178</v>
      </c>
      <c r="K75" s="23" t="s">
        <v>359</v>
      </c>
      <c r="L75" s="23" t="s">
        <v>448</v>
      </c>
      <c r="M75" s="18" t="s">
        <v>448</v>
      </c>
      <c r="N75" s="17">
        <v>-1</v>
      </c>
      <c r="O75" s="18">
        <v>29</v>
      </c>
      <c r="P75" s="50">
        <v>0.96699999999999997</v>
      </c>
    </row>
    <row r="76" spans="1:16" ht="17" customHeight="1" x14ac:dyDescent="0.35">
      <c r="A76" s="33">
        <v>76</v>
      </c>
      <c r="B76" s="33"/>
      <c r="C76" s="33"/>
      <c r="D76" s="35"/>
      <c r="E76" s="35" t="s">
        <v>411</v>
      </c>
      <c r="F76" s="36">
        <v>0</v>
      </c>
      <c r="G76" s="35">
        <v>55555</v>
      </c>
      <c r="H76" s="36" t="s">
        <v>412</v>
      </c>
      <c r="I76" s="36" t="s">
        <v>416</v>
      </c>
      <c r="J76" s="35"/>
      <c r="K76" s="36"/>
      <c r="L76" s="36" t="s">
        <v>449</v>
      </c>
      <c r="M76" s="18" t="s">
        <v>449</v>
      </c>
      <c r="N76" s="33"/>
    </row>
    <row r="77" spans="1:16" ht="17" customHeight="1" x14ac:dyDescent="0.35">
      <c r="A77" s="17">
        <v>77</v>
      </c>
      <c r="B77" s="17" t="s">
        <v>203</v>
      </c>
      <c r="C77" s="15">
        <v>16.2</v>
      </c>
      <c r="D77" s="22">
        <v>4</v>
      </c>
      <c r="E77" s="22" t="s">
        <v>422</v>
      </c>
      <c r="F77" s="20">
        <v>16.2</v>
      </c>
      <c r="G77" s="22">
        <v>43093</v>
      </c>
      <c r="H77" s="23" t="s">
        <v>340</v>
      </c>
      <c r="I77" s="23" t="s">
        <v>341</v>
      </c>
      <c r="J77" s="22" t="s">
        <v>159</v>
      </c>
      <c r="K77" s="23" t="s">
        <v>159</v>
      </c>
      <c r="L77" s="23" t="s">
        <v>450</v>
      </c>
      <c r="M77" s="18" t="s">
        <v>450</v>
      </c>
      <c r="N77" s="17">
        <v>-2</v>
      </c>
      <c r="O77" s="18">
        <v>28</v>
      </c>
      <c r="P77" s="50">
        <v>0.93300000000000005</v>
      </c>
    </row>
    <row r="78" spans="1:16" ht="17" customHeight="1" x14ac:dyDescent="0.35">
      <c r="A78" s="17">
        <v>78</v>
      </c>
      <c r="B78" s="17" t="s">
        <v>203</v>
      </c>
      <c r="C78" s="15">
        <v>16.2</v>
      </c>
      <c r="D78" s="22">
        <v>5</v>
      </c>
      <c r="E78" s="22" t="s">
        <v>423</v>
      </c>
      <c r="F78" s="20">
        <v>16.2</v>
      </c>
      <c r="G78" s="22">
        <v>43113</v>
      </c>
      <c r="H78" s="23" t="s">
        <v>342</v>
      </c>
      <c r="I78" s="23" t="s">
        <v>343</v>
      </c>
      <c r="J78" s="22" t="s">
        <v>161</v>
      </c>
      <c r="K78" s="23" t="s">
        <v>363</v>
      </c>
      <c r="L78" s="23" t="s">
        <v>442</v>
      </c>
      <c r="M78" s="18" t="s">
        <v>442</v>
      </c>
      <c r="N78" s="17">
        <v>-9</v>
      </c>
      <c r="O78" s="55">
        <v>21</v>
      </c>
      <c r="P78" s="56">
        <v>0.7</v>
      </c>
    </row>
    <row r="79" spans="1:16" ht="17" customHeight="1" x14ac:dyDescent="0.35">
      <c r="A79" s="17">
        <v>79</v>
      </c>
      <c r="B79" s="17" t="s">
        <v>203</v>
      </c>
      <c r="C79" s="15">
        <v>16.2</v>
      </c>
      <c r="D79" s="22">
        <v>6</v>
      </c>
      <c r="E79" s="22" t="s">
        <v>424</v>
      </c>
      <c r="F79" s="20">
        <v>16.2</v>
      </c>
      <c r="G79" s="22">
        <v>43128</v>
      </c>
      <c r="H79" s="23" t="s">
        <v>434</v>
      </c>
      <c r="I79" s="23" t="s">
        <v>435</v>
      </c>
      <c r="J79" s="22" t="s">
        <v>163</v>
      </c>
      <c r="K79" s="23" t="s">
        <v>362</v>
      </c>
      <c r="L79" s="23" t="s">
        <v>441</v>
      </c>
      <c r="M79" s="18" t="s">
        <v>441</v>
      </c>
      <c r="N79" s="17">
        <v>-10</v>
      </c>
      <c r="O79" s="55">
        <v>20</v>
      </c>
      <c r="P79" s="56">
        <v>0.66700000000000004</v>
      </c>
    </row>
    <row r="80" spans="1:16" ht="17" customHeight="1" x14ac:dyDescent="0.35">
      <c r="A80" s="17">
        <v>80</v>
      </c>
      <c r="B80" s="17" t="s">
        <v>204</v>
      </c>
      <c r="C80" s="15">
        <v>16.2</v>
      </c>
      <c r="D80" s="22">
        <v>7</v>
      </c>
      <c r="E80" s="22" t="s">
        <v>425</v>
      </c>
      <c r="F80" s="20">
        <v>16.2</v>
      </c>
      <c r="G80" s="22">
        <v>43143</v>
      </c>
      <c r="H80" s="23" t="s">
        <v>344</v>
      </c>
      <c r="I80" s="23" t="s">
        <v>345</v>
      </c>
      <c r="J80" s="22" t="s">
        <v>166</v>
      </c>
      <c r="K80" s="20" t="s">
        <v>401</v>
      </c>
      <c r="L80" s="20" t="s">
        <v>439</v>
      </c>
      <c r="M80" s="18" t="s">
        <v>439</v>
      </c>
      <c r="N80" s="17">
        <v>-19</v>
      </c>
      <c r="O80" s="55">
        <v>11</v>
      </c>
      <c r="P80" s="56">
        <v>0.36699999999999999</v>
      </c>
    </row>
    <row r="81" spans="1:16" ht="17" customHeight="1" x14ac:dyDescent="0.35">
      <c r="A81" s="17">
        <v>81</v>
      </c>
      <c r="B81" s="17" t="s">
        <v>204</v>
      </c>
      <c r="C81" s="15">
        <v>16.2</v>
      </c>
      <c r="D81" s="22">
        <v>8</v>
      </c>
      <c r="E81" s="22" t="s">
        <v>426</v>
      </c>
      <c r="F81" s="20">
        <v>16.2</v>
      </c>
      <c r="G81" s="22">
        <v>43144</v>
      </c>
      <c r="H81" s="23" t="s">
        <v>346</v>
      </c>
      <c r="I81" s="23" t="s">
        <v>347</v>
      </c>
      <c r="J81" s="22" t="s">
        <v>168</v>
      </c>
      <c r="K81" s="20" t="s">
        <v>400</v>
      </c>
      <c r="L81" s="20" t="s">
        <v>451</v>
      </c>
      <c r="M81" s="18" t="s">
        <v>451</v>
      </c>
      <c r="N81" s="17">
        <v>-2</v>
      </c>
      <c r="O81" s="18">
        <v>28</v>
      </c>
      <c r="P81" s="50">
        <v>0.93300000000000005</v>
      </c>
    </row>
    <row r="82" spans="1:16" ht="17" customHeight="1" x14ac:dyDescent="0.35">
      <c r="A82" s="17">
        <v>82</v>
      </c>
      <c r="B82" s="17" t="s">
        <v>204</v>
      </c>
      <c r="C82" s="15">
        <v>16.2</v>
      </c>
      <c r="D82" s="22">
        <v>9</v>
      </c>
      <c r="E82" s="22" t="s">
        <v>427</v>
      </c>
      <c r="F82" s="20">
        <v>16.2</v>
      </c>
      <c r="G82" s="22">
        <v>46496</v>
      </c>
      <c r="H82" s="20" t="s">
        <v>231</v>
      </c>
      <c r="I82" s="20" t="s">
        <v>232</v>
      </c>
      <c r="J82" s="19" t="s">
        <v>171</v>
      </c>
      <c r="K82" s="23" t="s">
        <v>360</v>
      </c>
      <c r="L82" s="23" t="s">
        <v>443</v>
      </c>
      <c r="M82" s="18" t="s">
        <v>443</v>
      </c>
      <c r="N82" s="17">
        <v>-15</v>
      </c>
      <c r="O82" s="55">
        <v>15</v>
      </c>
      <c r="P82" s="56">
        <v>0.5</v>
      </c>
    </row>
    <row r="83" spans="1:16" ht="17" customHeight="1" x14ac:dyDescent="0.35">
      <c r="A83" s="17">
        <v>83</v>
      </c>
      <c r="B83" s="17" t="s">
        <v>204</v>
      </c>
      <c r="C83" s="15">
        <v>16.2</v>
      </c>
      <c r="D83" s="22">
        <v>10</v>
      </c>
      <c r="E83" s="22" t="s">
        <v>428</v>
      </c>
      <c r="F83" s="20">
        <v>16.2</v>
      </c>
      <c r="G83" s="22">
        <v>46923</v>
      </c>
      <c r="H83" s="20" t="s">
        <v>221</v>
      </c>
      <c r="I83" s="20" t="s">
        <v>222</v>
      </c>
      <c r="J83" s="19" t="s">
        <v>223</v>
      </c>
      <c r="K83" s="23" t="s">
        <v>365</v>
      </c>
      <c r="L83" s="23" t="s">
        <v>452</v>
      </c>
      <c r="M83" s="18" t="s">
        <v>452</v>
      </c>
      <c r="N83" s="17">
        <v>-1</v>
      </c>
      <c r="O83" s="18">
        <v>29</v>
      </c>
      <c r="P83" s="50">
        <v>0.96699999999999997</v>
      </c>
    </row>
    <row r="84" spans="1:16" ht="17" customHeight="1" x14ac:dyDescent="0.35">
      <c r="A84" s="17">
        <v>84</v>
      </c>
      <c r="B84" s="17" t="s">
        <v>205</v>
      </c>
      <c r="C84" s="15">
        <v>16.2</v>
      </c>
      <c r="D84" s="22">
        <v>11</v>
      </c>
      <c r="E84" s="22" t="s">
        <v>429</v>
      </c>
      <c r="F84" s="20">
        <v>16.2</v>
      </c>
      <c r="G84" s="22">
        <v>46924</v>
      </c>
      <c r="H84" s="20" t="s">
        <v>230</v>
      </c>
      <c r="I84" s="20" t="s">
        <v>229</v>
      </c>
      <c r="J84" s="19" t="s">
        <v>224</v>
      </c>
      <c r="K84" s="23" t="s">
        <v>364</v>
      </c>
      <c r="L84" s="23" t="s">
        <v>453</v>
      </c>
      <c r="M84" s="18" t="s">
        <v>453</v>
      </c>
      <c r="N84" s="33"/>
    </row>
    <row r="85" spans="1:16" ht="17" customHeight="1" x14ac:dyDescent="0.35">
      <c r="A85" s="17">
        <v>85</v>
      </c>
      <c r="B85" s="17" t="s">
        <v>205</v>
      </c>
      <c r="C85" s="15">
        <v>16.2</v>
      </c>
      <c r="D85" s="22">
        <v>12</v>
      </c>
      <c r="E85" s="22" t="s">
        <v>430</v>
      </c>
      <c r="F85" s="20">
        <v>16.2</v>
      </c>
      <c r="G85" s="22">
        <v>46930</v>
      </c>
      <c r="H85" s="20" t="s">
        <v>225</v>
      </c>
      <c r="I85" s="20" t="s">
        <v>373</v>
      </c>
      <c r="J85" s="19" t="s">
        <v>225</v>
      </c>
      <c r="K85" s="23" t="s">
        <v>225</v>
      </c>
      <c r="L85" s="23" t="s">
        <v>440</v>
      </c>
      <c r="M85" s="18" t="s">
        <v>440</v>
      </c>
      <c r="N85" s="17">
        <v>-14</v>
      </c>
      <c r="O85" s="55">
        <v>16</v>
      </c>
      <c r="P85" s="56">
        <v>0.53300000000000003</v>
      </c>
    </row>
    <row r="86" spans="1:16" ht="17" customHeight="1" x14ac:dyDescent="0.35">
      <c r="A86" s="33">
        <v>86</v>
      </c>
      <c r="B86" s="33"/>
      <c r="C86" s="33"/>
      <c r="D86" s="35"/>
      <c r="E86" s="35" t="s">
        <v>413</v>
      </c>
      <c r="F86" s="36">
        <v>0</v>
      </c>
      <c r="G86" s="35">
        <v>55555</v>
      </c>
      <c r="H86" s="36" t="s">
        <v>412</v>
      </c>
      <c r="I86" s="36" t="s">
        <v>416</v>
      </c>
      <c r="J86" s="35"/>
      <c r="K86" s="36"/>
      <c r="L86" s="36" t="s">
        <v>454</v>
      </c>
      <c r="M86" s="18" t="s">
        <v>454</v>
      </c>
      <c r="N86" s="33"/>
    </row>
    <row r="87" spans="1:16" ht="17" customHeight="1" x14ac:dyDescent="0.35">
      <c r="A87" s="17">
        <v>87</v>
      </c>
      <c r="B87" s="17" t="s">
        <v>205</v>
      </c>
      <c r="C87" s="15">
        <v>16.2</v>
      </c>
      <c r="D87" s="22">
        <v>13</v>
      </c>
      <c r="E87" s="22" t="s">
        <v>414</v>
      </c>
      <c r="F87" s="20">
        <v>16.2</v>
      </c>
      <c r="G87" s="22">
        <v>46934</v>
      </c>
      <c r="H87" s="20" t="s">
        <v>374</v>
      </c>
      <c r="I87" s="20" t="s">
        <v>228</v>
      </c>
      <c r="J87" s="19" t="s">
        <v>226</v>
      </c>
      <c r="K87" s="23" t="s">
        <v>366</v>
      </c>
      <c r="L87" s="23" t="s">
        <v>445</v>
      </c>
      <c r="M87" s="18" t="s">
        <v>445</v>
      </c>
      <c r="N87" s="17">
        <v>-1</v>
      </c>
      <c r="O87" s="18">
        <v>29</v>
      </c>
      <c r="P87" s="50">
        <v>0.96699999999999997</v>
      </c>
    </row>
    <row r="88" spans="1:16" ht="17" customHeight="1" x14ac:dyDescent="0.35">
      <c r="A88" s="17">
        <v>88</v>
      </c>
      <c r="B88" s="17" t="s">
        <v>205</v>
      </c>
      <c r="C88" s="15">
        <v>16.2</v>
      </c>
      <c r="D88" s="22">
        <v>14</v>
      </c>
      <c r="E88" s="17" t="s">
        <v>415</v>
      </c>
      <c r="F88" s="20">
        <v>16.2</v>
      </c>
      <c r="G88" s="22">
        <v>46939</v>
      </c>
      <c r="H88" s="29" t="s">
        <v>375</v>
      </c>
      <c r="I88" s="20" t="s">
        <v>376</v>
      </c>
      <c r="J88" s="19" t="s">
        <v>227</v>
      </c>
      <c r="K88" s="23" t="s">
        <v>227</v>
      </c>
      <c r="L88" s="23" t="s">
        <v>455</v>
      </c>
      <c r="M88" s="18" t="s">
        <v>455</v>
      </c>
      <c r="N88" s="17" t="e">
        <f>-G189+#REF!</f>
        <v>#REF!</v>
      </c>
      <c r="O88" s="55">
        <v>0</v>
      </c>
      <c r="P88" s="56">
        <v>0</v>
      </c>
    </row>
    <row r="89" spans="1:16" ht="17" customHeight="1" x14ac:dyDescent="0.35">
      <c r="A89" s="17">
        <v>89</v>
      </c>
      <c r="B89" s="17">
        <v>71</v>
      </c>
      <c r="C89" s="17"/>
      <c r="D89" s="17"/>
      <c r="E89" s="17"/>
      <c r="F89" s="17"/>
      <c r="G89" s="17">
        <v>47124</v>
      </c>
      <c r="H89" s="17" t="s">
        <v>436</v>
      </c>
      <c r="I89" s="40" t="s">
        <v>437</v>
      </c>
      <c r="J89" s="17" t="s">
        <v>438</v>
      </c>
      <c r="K89" s="15"/>
      <c r="L89" s="15" t="s">
        <v>456</v>
      </c>
      <c r="M89" s="18" t="s">
        <v>456</v>
      </c>
      <c r="N89" s="17"/>
      <c r="O89" s="55">
        <v>0</v>
      </c>
      <c r="P89" s="56">
        <v>0</v>
      </c>
    </row>
  </sheetData>
  <sortState xmlns:xlrd2="http://schemas.microsoft.com/office/spreadsheetml/2017/richdata2" ref="A1:P90">
    <sortCondition ref="A1:A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5FCA-F663-41EB-9A34-73E77C05046B}">
  <dimension ref="A1:P28"/>
  <sheetViews>
    <sheetView topLeftCell="A21" workbookViewId="0">
      <selection activeCell="P30" sqref="P30"/>
    </sheetView>
  </sheetViews>
  <sheetFormatPr defaultRowHeight="14.5" x14ac:dyDescent="0.35"/>
  <cols>
    <col min="2" max="5" width="0" hidden="1" customWidth="1"/>
    <col min="8" max="8" width="14.453125" customWidth="1"/>
    <col min="9" max="14" width="0" hidden="1" customWidth="1"/>
    <col min="15" max="15" width="3" hidden="1" customWidth="1"/>
  </cols>
  <sheetData>
    <row r="1" spans="1:16" ht="17" customHeight="1" x14ac:dyDescent="0.35">
      <c r="A1" s="17">
        <v>3</v>
      </c>
      <c r="B1" s="17" t="s">
        <v>202</v>
      </c>
      <c r="C1" s="15">
        <v>11.1</v>
      </c>
      <c r="D1" s="22">
        <v>2</v>
      </c>
      <c r="E1" s="22" t="s">
        <v>419</v>
      </c>
      <c r="F1" s="20">
        <v>11.1</v>
      </c>
      <c r="G1" s="22">
        <v>42956</v>
      </c>
      <c r="H1" s="23" t="s">
        <v>236</v>
      </c>
      <c r="I1" s="23" t="s">
        <v>237</v>
      </c>
      <c r="J1" s="22" t="s">
        <v>6</v>
      </c>
      <c r="K1" s="20" t="s">
        <v>403</v>
      </c>
      <c r="L1" s="20" t="s">
        <v>446</v>
      </c>
      <c r="M1" s="18" t="s">
        <v>446</v>
      </c>
      <c r="N1" s="17">
        <v>-9</v>
      </c>
      <c r="O1" s="57">
        <v>21</v>
      </c>
      <c r="P1" s="58">
        <v>0.7</v>
      </c>
    </row>
    <row r="2" spans="1:16" ht="17" customHeight="1" x14ac:dyDescent="0.35">
      <c r="A2" s="17">
        <v>7</v>
      </c>
      <c r="B2" s="17" t="s">
        <v>203</v>
      </c>
      <c r="C2" s="15">
        <v>11.1</v>
      </c>
      <c r="D2" s="22">
        <v>5</v>
      </c>
      <c r="E2" s="22" t="s">
        <v>422</v>
      </c>
      <c r="F2" s="20">
        <v>11.1</v>
      </c>
      <c r="G2" s="22">
        <v>42979</v>
      </c>
      <c r="H2" s="23" t="s">
        <v>242</v>
      </c>
      <c r="I2" s="23" t="s">
        <v>243</v>
      </c>
      <c r="J2" s="22" t="s">
        <v>14</v>
      </c>
      <c r="K2" s="23" t="s">
        <v>368</v>
      </c>
      <c r="L2" s="23" t="s">
        <v>450</v>
      </c>
      <c r="M2" s="18" t="s">
        <v>450</v>
      </c>
      <c r="N2" s="17">
        <v>-7</v>
      </c>
      <c r="O2" s="55">
        <v>23</v>
      </c>
      <c r="P2" s="56">
        <v>0.76700000000000002</v>
      </c>
    </row>
    <row r="3" spans="1:16" ht="17" customHeight="1" x14ac:dyDescent="0.35">
      <c r="A3" s="17">
        <v>11</v>
      </c>
      <c r="B3" s="17" t="s">
        <v>204</v>
      </c>
      <c r="C3" s="15">
        <v>11.1</v>
      </c>
      <c r="D3" s="22">
        <v>9</v>
      </c>
      <c r="E3" s="22" t="s">
        <v>426</v>
      </c>
      <c r="F3" s="20">
        <v>11.1</v>
      </c>
      <c r="G3" s="22">
        <v>43150</v>
      </c>
      <c r="H3" s="23" t="s">
        <v>250</v>
      </c>
      <c r="I3" s="23" t="s">
        <v>251</v>
      </c>
      <c r="J3" s="22" t="s">
        <v>25</v>
      </c>
      <c r="K3" s="23" t="s">
        <v>367</v>
      </c>
      <c r="L3" s="23" t="s">
        <v>451</v>
      </c>
      <c r="M3" s="18" t="s">
        <v>451</v>
      </c>
      <c r="N3" s="17">
        <v>-10</v>
      </c>
      <c r="O3" s="55">
        <v>20</v>
      </c>
      <c r="P3" s="56">
        <v>0.66700000000000004</v>
      </c>
    </row>
    <row r="4" spans="1:16" ht="17" customHeight="1" x14ac:dyDescent="0.35">
      <c r="A4" s="17">
        <v>35</v>
      </c>
      <c r="B4" s="17" t="s">
        <v>205</v>
      </c>
      <c r="C4" s="15">
        <v>13.2</v>
      </c>
      <c r="D4" s="22">
        <v>14</v>
      </c>
      <c r="E4" s="22" t="s">
        <v>414</v>
      </c>
      <c r="F4" s="20">
        <v>13.2</v>
      </c>
      <c r="G4" s="22">
        <v>43427</v>
      </c>
      <c r="H4" s="23" t="s">
        <v>288</v>
      </c>
      <c r="I4" s="23" t="s">
        <v>289</v>
      </c>
      <c r="J4" s="22" t="s">
        <v>166</v>
      </c>
      <c r="K4" s="23" t="s">
        <v>406</v>
      </c>
      <c r="L4" s="23" t="s">
        <v>455</v>
      </c>
      <c r="M4" s="18" t="s">
        <v>455</v>
      </c>
      <c r="N4" s="17">
        <v>-8</v>
      </c>
      <c r="O4" s="55">
        <v>22</v>
      </c>
      <c r="P4" s="56">
        <v>0.73299999999999998</v>
      </c>
    </row>
    <row r="5" spans="1:16" ht="17" customHeight="1" x14ac:dyDescent="0.35">
      <c r="A5" s="17">
        <v>37</v>
      </c>
      <c r="B5" s="17" t="s">
        <v>202</v>
      </c>
      <c r="C5" s="15">
        <v>14.1</v>
      </c>
      <c r="D5" s="22">
        <v>1</v>
      </c>
      <c r="E5" s="22" t="s">
        <v>418</v>
      </c>
      <c r="F5" s="20">
        <v>14.1</v>
      </c>
      <c r="G5" s="22">
        <v>42973</v>
      </c>
      <c r="H5" s="23" t="s">
        <v>290</v>
      </c>
      <c r="I5" s="23" t="s">
        <v>291</v>
      </c>
      <c r="J5" s="22" t="s">
        <v>44</v>
      </c>
      <c r="K5" s="23" t="s">
        <v>213</v>
      </c>
      <c r="L5" s="23" t="s">
        <v>444</v>
      </c>
      <c r="M5" s="18" t="s">
        <v>444</v>
      </c>
      <c r="N5" s="17">
        <v>-26</v>
      </c>
      <c r="O5" s="55">
        <v>4</v>
      </c>
      <c r="P5" s="56">
        <v>0.13300000000000001</v>
      </c>
    </row>
    <row r="6" spans="1:16" ht="17" customHeight="1" x14ac:dyDescent="0.35">
      <c r="A6" s="17">
        <v>40</v>
      </c>
      <c r="B6" s="17" t="s">
        <v>203</v>
      </c>
      <c r="C6" s="15">
        <v>14.1</v>
      </c>
      <c r="D6" s="22">
        <v>4</v>
      </c>
      <c r="E6" s="22" t="s">
        <v>421</v>
      </c>
      <c r="F6" s="20">
        <v>14.1</v>
      </c>
      <c r="G6" s="22">
        <v>42999</v>
      </c>
      <c r="H6" s="23" t="s">
        <v>296</v>
      </c>
      <c r="I6" s="23" t="s">
        <v>297</v>
      </c>
      <c r="J6" s="22" t="s">
        <v>53</v>
      </c>
      <c r="K6" s="23" t="s">
        <v>211</v>
      </c>
      <c r="L6" s="23" t="s">
        <v>448</v>
      </c>
      <c r="M6" s="18" t="s">
        <v>448</v>
      </c>
      <c r="N6" s="17">
        <v>-8</v>
      </c>
      <c r="O6" s="55">
        <v>22</v>
      </c>
      <c r="P6" s="56">
        <v>0.73299999999999998</v>
      </c>
    </row>
    <row r="7" spans="1:16" ht="17" customHeight="1" x14ac:dyDescent="0.35">
      <c r="A7" s="17">
        <v>44</v>
      </c>
      <c r="B7" s="17" t="s">
        <v>204</v>
      </c>
      <c r="C7" s="15">
        <v>14.1</v>
      </c>
      <c r="D7" s="22">
        <v>7</v>
      </c>
      <c r="E7" s="22" t="s">
        <v>424</v>
      </c>
      <c r="F7" s="20">
        <v>14.1</v>
      </c>
      <c r="G7" s="22">
        <v>43034</v>
      </c>
      <c r="H7" s="23" t="s">
        <v>302</v>
      </c>
      <c r="I7" s="23" t="s">
        <v>303</v>
      </c>
      <c r="J7" s="22" t="s">
        <v>62</v>
      </c>
      <c r="K7" s="23" t="s">
        <v>210</v>
      </c>
      <c r="L7" s="23" t="s">
        <v>441</v>
      </c>
      <c r="M7" s="18" t="s">
        <v>441</v>
      </c>
      <c r="N7" s="17">
        <v>-18</v>
      </c>
      <c r="O7" s="55">
        <v>12</v>
      </c>
      <c r="P7" s="56">
        <v>0.4</v>
      </c>
    </row>
    <row r="8" spans="1:16" ht="17" customHeight="1" x14ac:dyDescent="0.35">
      <c r="A8" s="17">
        <v>45</v>
      </c>
      <c r="B8" s="17" t="s">
        <v>204</v>
      </c>
      <c r="C8" s="15">
        <v>14.1</v>
      </c>
      <c r="D8" s="22">
        <v>8</v>
      </c>
      <c r="E8" s="22" t="s">
        <v>425</v>
      </c>
      <c r="F8" s="20">
        <v>14.1</v>
      </c>
      <c r="G8" s="22">
        <v>43056</v>
      </c>
      <c r="H8" s="23" t="s">
        <v>304</v>
      </c>
      <c r="I8" s="23" t="s">
        <v>305</v>
      </c>
      <c r="J8" s="22" t="s">
        <v>65</v>
      </c>
      <c r="K8" s="23" t="s">
        <v>218</v>
      </c>
      <c r="L8" s="23" t="s">
        <v>439</v>
      </c>
      <c r="M8" s="18" t="s">
        <v>439</v>
      </c>
      <c r="N8" s="17">
        <v>-7</v>
      </c>
      <c r="O8" s="55">
        <v>23</v>
      </c>
      <c r="P8" s="56">
        <v>0.76700000000000002</v>
      </c>
    </row>
    <row r="9" spans="1:16" ht="17" customHeight="1" x14ac:dyDescent="0.35">
      <c r="A9" s="17">
        <v>48</v>
      </c>
      <c r="B9" s="17" t="s">
        <v>204</v>
      </c>
      <c r="C9" s="15">
        <v>14.1</v>
      </c>
      <c r="D9" s="22">
        <v>11</v>
      </c>
      <c r="E9" s="22" t="s">
        <v>428</v>
      </c>
      <c r="F9" s="20">
        <v>14.1</v>
      </c>
      <c r="G9" s="22">
        <v>44589</v>
      </c>
      <c r="H9" s="23" t="s">
        <v>309</v>
      </c>
      <c r="I9" s="23" t="s">
        <v>310</v>
      </c>
      <c r="J9" s="22" t="s">
        <v>74</v>
      </c>
      <c r="K9" s="23" t="s">
        <v>215</v>
      </c>
      <c r="L9" s="23" t="s">
        <v>452</v>
      </c>
      <c r="M9" s="18" t="s">
        <v>452</v>
      </c>
      <c r="N9" s="17">
        <v>-23</v>
      </c>
      <c r="O9" s="55">
        <v>7</v>
      </c>
      <c r="P9" s="56">
        <v>0.23300000000000001</v>
      </c>
    </row>
    <row r="10" spans="1:16" ht="17" customHeight="1" x14ac:dyDescent="0.35">
      <c r="A10" s="17">
        <v>50</v>
      </c>
      <c r="B10" s="17" t="s">
        <v>205</v>
      </c>
      <c r="C10" s="15">
        <v>14.1</v>
      </c>
      <c r="D10" s="22">
        <v>13</v>
      </c>
      <c r="E10" s="22" t="s">
        <v>430</v>
      </c>
      <c r="F10" s="20">
        <v>14.1</v>
      </c>
      <c r="G10" s="22">
        <v>45875</v>
      </c>
      <c r="H10" s="23" t="s">
        <v>313</v>
      </c>
      <c r="I10" s="23" t="s">
        <v>314</v>
      </c>
      <c r="J10" s="22" t="s">
        <v>80</v>
      </c>
      <c r="K10" s="23" t="s">
        <v>80</v>
      </c>
      <c r="L10" s="23" t="s">
        <v>440</v>
      </c>
      <c r="M10" s="18" t="s">
        <v>440</v>
      </c>
      <c r="N10" s="17">
        <v>-23</v>
      </c>
      <c r="O10" s="55">
        <v>7</v>
      </c>
      <c r="P10" s="56">
        <v>0.23300000000000001</v>
      </c>
    </row>
    <row r="11" spans="1:16" ht="17" customHeight="1" x14ac:dyDescent="0.35">
      <c r="A11" s="17">
        <v>52</v>
      </c>
      <c r="B11" s="17" t="s">
        <v>205</v>
      </c>
      <c r="C11" s="15">
        <v>14.1</v>
      </c>
      <c r="D11" s="22">
        <v>14</v>
      </c>
      <c r="E11" s="17" t="s">
        <v>414</v>
      </c>
      <c r="F11" s="20">
        <v>14.1</v>
      </c>
      <c r="G11" s="22">
        <v>45892</v>
      </c>
      <c r="H11" s="23" t="s">
        <v>315</v>
      </c>
      <c r="I11" s="23" t="s">
        <v>316</v>
      </c>
      <c r="J11" s="22" t="s">
        <v>83</v>
      </c>
      <c r="K11" s="22" t="s">
        <v>83</v>
      </c>
      <c r="L11" s="22" t="s">
        <v>445</v>
      </c>
      <c r="M11" s="18" t="s">
        <v>445</v>
      </c>
      <c r="N11" s="17">
        <v>17</v>
      </c>
      <c r="O11" s="55">
        <v>17</v>
      </c>
      <c r="P11" s="56">
        <v>0.56699999999999995</v>
      </c>
    </row>
    <row r="12" spans="1:16" ht="17" customHeight="1" x14ac:dyDescent="0.35">
      <c r="A12" s="17">
        <v>53</v>
      </c>
      <c r="B12" s="17" t="s">
        <v>205</v>
      </c>
      <c r="C12" s="15">
        <v>14.1</v>
      </c>
      <c r="D12" s="22">
        <v>15</v>
      </c>
      <c r="E12" s="17" t="s">
        <v>415</v>
      </c>
      <c r="F12" s="20">
        <v>14.1</v>
      </c>
      <c r="G12" s="22">
        <v>46491</v>
      </c>
      <c r="H12" s="23" t="s">
        <v>317</v>
      </c>
      <c r="I12" s="23" t="s">
        <v>318</v>
      </c>
      <c r="J12" s="22" t="s">
        <v>86</v>
      </c>
      <c r="K12" s="23" t="s">
        <v>216</v>
      </c>
      <c r="L12" s="23" t="s">
        <v>455</v>
      </c>
      <c r="M12" s="18" t="s">
        <v>455</v>
      </c>
      <c r="N12" s="17">
        <v>-7</v>
      </c>
      <c r="O12" s="55">
        <v>23</v>
      </c>
      <c r="P12" s="56">
        <v>0.76700000000000002</v>
      </c>
    </row>
    <row r="13" spans="1:16" ht="17" customHeight="1" x14ac:dyDescent="0.35">
      <c r="A13" s="17">
        <v>55</v>
      </c>
      <c r="B13" s="17" t="s">
        <v>202</v>
      </c>
      <c r="C13" s="15">
        <v>15.3</v>
      </c>
      <c r="D13" s="25">
        <v>1</v>
      </c>
      <c r="E13" s="22" t="s">
        <v>418</v>
      </c>
      <c r="F13" s="20">
        <v>15.3</v>
      </c>
      <c r="G13" s="26">
        <v>43162</v>
      </c>
      <c r="H13" s="23" t="s">
        <v>319</v>
      </c>
      <c r="I13" s="23" t="s">
        <v>320</v>
      </c>
      <c r="J13" s="25" t="s">
        <v>196</v>
      </c>
      <c r="K13" s="23" t="s">
        <v>396</v>
      </c>
      <c r="L13" s="23" t="s">
        <v>444</v>
      </c>
      <c r="M13" s="18" t="s">
        <v>444</v>
      </c>
      <c r="N13" s="17">
        <v>-7</v>
      </c>
      <c r="O13" s="55">
        <v>23</v>
      </c>
      <c r="P13" s="56">
        <v>0.76700000000000002</v>
      </c>
    </row>
    <row r="14" spans="1:16" ht="17" customHeight="1" x14ac:dyDescent="0.35">
      <c r="A14" s="17">
        <v>57</v>
      </c>
      <c r="B14" s="17" t="s">
        <v>202</v>
      </c>
      <c r="C14" s="15">
        <v>15.3</v>
      </c>
      <c r="D14" s="25">
        <v>3</v>
      </c>
      <c r="E14" s="22" t="s">
        <v>420</v>
      </c>
      <c r="F14" s="20">
        <v>15.3</v>
      </c>
      <c r="G14" s="25">
        <v>43225</v>
      </c>
      <c r="H14" s="23" t="s">
        <v>323</v>
      </c>
      <c r="I14" s="23" t="s">
        <v>324</v>
      </c>
      <c r="J14" s="25" t="s">
        <v>186</v>
      </c>
      <c r="K14" s="23" t="s">
        <v>384</v>
      </c>
      <c r="L14" s="23" t="s">
        <v>447</v>
      </c>
      <c r="M14" s="18" t="s">
        <v>447</v>
      </c>
      <c r="N14" s="17">
        <v>-22</v>
      </c>
      <c r="O14" s="55">
        <v>8</v>
      </c>
      <c r="P14" s="56">
        <v>0.26700000000000002</v>
      </c>
    </row>
    <row r="15" spans="1:16" ht="17" customHeight="1" x14ac:dyDescent="0.35">
      <c r="A15" s="17">
        <v>58</v>
      </c>
      <c r="B15" s="17" t="s">
        <v>203</v>
      </c>
      <c r="C15" s="15">
        <v>15.3</v>
      </c>
      <c r="D15" s="27">
        <v>4</v>
      </c>
      <c r="E15" s="22" t="s">
        <v>421</v>
      </c>
      <c r="F15" s="20">
        <v>15.3</v>
      </c>
      <c r="G15" s="25">
        <v>43245</v>
      </c>
      <c r="H15" s="23" t="s">
        <v>59</v>
      </c>
      <c r="I15" s="23" t="s">
        <v>325</v>
      </c>
      <c r="J15" s="25" t="s">
        <v>188</v>
      </c>
      <c r="K15" s="23" t="s">
        <v>392</v>
      </c>
      <c r="L15" s="23" t="s">
        <v>448</v>
      </c>
      <c r="M15" s="18" t="s">
        <v>448</v>
      </c>
      <c r="N15" s="17">
        <v>-10</v>
      </c>
      <c r="O15" s="55">
        <v>20</v>
      </c>
      <c r="P15" s="56">
        <v>0.66700000000000004</v>
      </c>
    </row>
    <row r="16" spans="1:16" ht="17" customHeight="1" x14ac:dyDescent="0.35">
      <c r="A16" s="17">
        <v>61</v>
      </c>
      <c r="B16" s="17" t="s">
        <v>203</v>
      </c>
      <c r="C16" s="15">
        <v>15.3</v>
      </c>
      <c r="D16" s="27">
        <v>6</v>
      </c>
      <c r="E16" s="22" t="s">
        <v>423</v>
      </c>
      <c r="F16" s="20">
        <v>15.3</v>
      </c>
      <c r="G16" s="25">
        <v>43261</v>
      </c>
      <c r="H16" s="23" t="s">
        <v>328</v>
      </c>
      <c r="I16" s="23" t="s">
        <v>329</v>
      </c>
      <c r="J16" s="25" t="s">
        <v>190</v>
      </c>
      <c r="K16" s="23" t="s">
        <v>385</v>
      </c>
      <c r="L16" s="23" t="s">
        <v>442</v>
      </c>
      <c r="M16" s="18" t="s">
        <v>442</v>
      </c>
      <c r="N16" s="17">
        <v>-7</v>
      </c>
      <c r="O16" s="55">
        <v>23</v>
      </c>
      <c r="P16" s="56">
        <v>0.76700000000000002</v>
      </c>
    </row>
    <row r="17" spans="1:16" ht="17" customHeight="1" x14ac:dyDescent="0.35">
      <c r="A17" s="17">
        <v>63</v>
      </c>
      <c r="B17" s="17" t="s">
        <v>204</v>
      </c>
      <c r="C17" s="15">
        <v>15.3</v>
      </c>
      <c r="D17" s="27">
        <v>8</v>
      </c>
      <c r="E17" s="22" t="s">
        <v>425</v>
      </c>
      <c r="F17" s="20">
        <v>15.3</v>
      </c>
      <c r="G17" s="27">
        <v>43265</v>
      </c>
      <c r="H17" s="23" t="s">
        <v>332</v>
      </c>
      <c r="I17" s="23" t="s">
        <v>333</v>
      </c>
      <c r="J17" s="25" t="s">
        <v>194</v>
      </c>
      <c r="K17" s="23" t="s">
        <v>386</v>
      </c>
      <c r="L17" s="23" t="s">
        <v>439</v>
      </c>
      <c r="M17" s="18" t="s">
        <v>439</v>
      </c>
      <c r="N17" s="17">
        <v>-8</v>
      </c>
      <c r="O17" s="55">
        <v>22</v>
      </c>
      <c r="P17" s="56">
        <v>0.73299999999999998</v>
      </c>
    </row>
    <row r="18" spans="1:16" ht="17" customHeight="1" x14ac:dyDescent="0.35">
      <c r="A18" s="17">
        <v>66</v>
      </c>
      <c r="B18" s="17" t="s">
        <v>205</v>
      </c>
      <c r="C18" s="15">
        <v>15.3</v>
      </c>
      <c r="D18" s="27">
        <v>11</v>
      </c>
      <c r="E18" s="22" t="s">
        <v>428</v>
      </c>
      <c r="F18" s="20">
        <v>15.3</v>
      </c>
      <c r="G18" s="27">
        <v>47035</v>
      </c>
      <c r="H18" s="23" t="s">
        <v>353</v>
      </c>
      <c r="I18" s="23" t="s">
        <v>354</v>
      </c>
      <c r="J18" s="19" t="s">
        <v>380</v>
      </c>
      <c r="K18" s="20"/>
      <c r="L18" s="20" t="s">
        <v>452</v>
      </c>
      <c r="M18" s="18" t="s">
        <v>452</v>
      </c>
      <c r="N18" s="17">
        <v>-22</v>
      </c>
      <c r="O18" s="55">
        <v>8</v>
      </c>
      <c r="P18" s="56">
        <v>0.26700000000000002</v>
      </c>
    </row>
    <row r="19" spans="1:16" ht="17" customHeight="1" x14ac:dyDescent="0.35">
      <c r="A19" s="17">
        <v>67</v>
      </c>
      <c r="B19" s="17" t="s">
        <v>205</v>
      </c>
      <c r="C19" s="15">
        <v>15.3</v>
      </c>
      <c r="D19" s="27">
        <v>12</v>
      </c>
      <c r="E19" s="22" t="s">
        <v>429</v>
      </c>
      <c r="F19" s="20">
        <v>15.3</v>
      </c>
      <c r="G19" s="27">
        <v>47064</v>
      </c>
      <c r="H19" s="23" t="s">
        <v>355</v>
      </c>
      <c r="I19" s="23" t="s">
        <v>356</v>
      </c>
      <c r="J19" s="19" t="s">
        <v>379</v>
      </c>
      <c r="K19" s="23" t="s">
        <v>393</v>
      </c>
      <c r="L19" s="23" t="s">
        <v>453</v>
      </c>
      <c r="M19" s="18" t="s">
        <v>453</v>
      </c>
      <c r="N19" s="17">
        <v>-15</v>
      </c>
      <c r="O19" s="55">
        <v>15</v>
      </c>
      <c r="P19" s="56">
        <v>0.5</v>
      </c>
    </row>
    <row r="20" spans="1:16" ht="17" customHeight="1" x14ac:dyDescent="0.35">
      <c r="A20" s="17">
        <v>68</v>
      </c>
      <c r="B20" s="17" t="s">
        <v>205</v>
      </c>
      <c r="C20" s="15">
        <v>15.3</v>
      </c>
      <c r="D20" s="27">
        <v>13</v>
      </c>
      <c r="E20" s="22" t="s">
        <v>430</v>
      </c>
      <c r="F20" s="20">
        <v>15.3</v>
      </c>
      <c r="G20" s="28">
        <v>47074</v>
      </c>
      <c r="H20" s="23" t="s">
        <v>357</v>
      </c>
      <c r="I20" s="23" t="s">
        <v>358</v>
      </c>
      <c r="J20" s="19" t="s">
        <v>378</v>
      </c>
      <c r="K20" s="23" t="s">
        <v>387</v>
      </c>
      <c r="L20" s="23" t="s">
        <v>440</v>
      </c>
      <c r="M20" s="18" t="s">
        <v>440</v>
      </c>
      <c r="N20" s="17">
        <v>-12</v>
      </c>
      <c r="O20" s="55">
        <v>18</v>
      </c>
      <c r="P20" s="56">
        <v>0.6</v>
      </c>
    </row>
    <row r="21" spans="1:16" ht="17" customHeight="1" x14ac:dyDescent="0.35">
      <c r="A21" s="17">
        <v>70</v>
      </c>
      <c r="B21" s="17" t="s">
        <v>205</v>
      </c>
      <c r="C21" s="15">
        <v>15.3</v>
      </c>
      <c r="D21" s="27">
        <v>14</v>
      </c>
      <c r="E21" s="17" t="s">
        <v>414</v>
      </c>
      <c r="F21" s="20">
        <v>15.3</v>
      </c>
      <c r="G21" s="28">
        <v>47086</v>
      </c>
      <c r="H21" s="20" t="s">
        <v>395</v>
      </c>
      <c r="I21" s="20" t="s">
        <v>383</v>
      </c>
      <c r="J21" s="19" t="s">
        <v>377</v>
      </c>
      <c r="K21" s="23" t="s">
        <v>394</v>
      </c>
      <c r="L21" s="23" t="s">
        <v>445</v>
      </c>
      <c r="M21" s="18" t="s">
        <v>445</v>
      </c>
      <c r="N21" s="17">
        <v>-26</v>
      </c>
      <c r="O21" s="55">
        <v>4</v>
      </c>
      <c r="P21" s="56">
        <v>0.13300000000000001</v>
      </c>
    </row>
    <row r="22" spans="1:16" ht="17" customHeight="1" x14ac:dyDescent="0.35">
      <c r="A22" s="17">
        <v>78</v>
      </c>
      <c r="B22" s="17" t="s">
        <v>203</v>
      </c>
      <c r="C22" s="15">
        <v>16.2</v>
      </c>
      <c r="D22" s="22">
        <v>5</v>
      </c>
      <c r="E22" s="22" t="s">
        <v>423</v>
      </c>
      <c r="F22" s="20">
        <v>16.2</v>
      </c>
      <c r="G22" s="22">
        <v>43113</v>
      </c>
      <c r="H22" s="23" t="s">
        <v>342</v>
      </c>
      <c r="I22" s="23" t="s">
        <v>343</v>
      </c>
      <c r="J22" s="22" t="s">
        <v>161</v>
      </c>
      <c r="K22" s="23" t="s">
        <v>363</v>
      </c>
      <c r="L22" s="23" t="s">
        <v>442</v>
      </c>
      <c r="M22" s="18" t="s">
        <v>442</v>
      </c>
      <c r="N22" s="17">
        <v>-9</v>
      </c>
      <c r="O22" s="55">
        <v>21</v>
      </c>
      <c r="P22" s="56">
        <v>0.7</v>
      </c>
    </row>
    <row r="23" spans="1:16" ht="17" customHeight="1" x14ac:dyDescent="0.35">
      <c r="A23" s="17">
        <v>79</v>
      </c>
      <c r="B23" s="17" t="s">
        <v>203</v>
      </c>
      <c r="C23" s="15">
        <v>16.2</v>
      </c>
      <c r="D23" s="22">
        <v>6</v>
      </c>
      <c r="E23" s="22" t="s">
        <v>424</v>
      </c>
      <c r="F23" s="20">
        <v>16.2</v>
      </c>
      <c r="G23" s="22">
        <v>43128</v>
      </c>
      <c r="H23" s="36" t="s">
        <v>434</v>
      </c>
      <c r="I23" s="23" t="s">
        <v>435</v>
      </c>
      <c r="J23" s="22" t="s">
        <v>163</v>
      </c>
      <c r="K23" s="23" t="s">
        <v>362</v>
      </c>
      <c r="L23" s="23" t="s">
        <v>441</v>
      </c>
      <c r="M23" s="18" t="s">
        <v>441</v>
      </c>
      <c r="N23" s="17">
        <v>-10</v>
      </c>
      <c r="O23" s="55">
        <v>20</v>
      </c>
      <c r="P23" s="56">
        <v>0.66700000000000004</v>
      </c>
    </row>
    <row r="24" spans="1:16" ht="17" customHeight="1" x14ac:dyDescent="0.35">
      <c r="A24" s="17">
        <v>80</v>
      </c>
      <c r="B24" s="17" t="s">
        <v>204</v>
      </c>
      <c r="C24" s="15">
        <v>16.2</v>
      </c>
      <c r="D24" s="22">
        <v>7</v>
      </c>
      <c r="E24" s="22" t="s">
        <v>425</v>
      </c>
      <c r="F24" s="20">
        <v>16.2</v>
      </c>
      <c r="G24" s="22">
        <v>43143</v>
      </c>
      <c r="H24" s="23" t="s">
        <v>344</v>
      </c>
      <c r="I24" s="23" t="s">
        <v>345</v>
      </c>
      <c r="J24" s="22" t="s">
        <v>166</v>
      </c>
      <c r="K24" s="20" t="s">
        <v>401</v>
      </c>
      <c r="L24" s="20" t="s">
        <v>439</v>
      </c>
      <c r="M24" s="18" t="s">
        <v>439</v>
      </c>
      <c r="N24" s="17">
        <v>-19</v>
      </c>
      <c r="O24" s="55">
        <v>11</v>
      </c>
      <c r="P24" s="56">
        <v>0.36699999999999999</v>
      </c>
    </row>
    <row r="25" spans="1:16" ht="17" customHeight="1" x14ac:dyDescent="0.35">
      <c r="A25" s="17">
        <v>82</v>
      </c>
      <c r="B25" s="17" t="s">
        <v>204</v>
      </c>
      <c r="C25" s="15">
        <v>16.2</v>
      </c>
      <c r="D25" s="22">
        <v>9</v>
      </c>
      <c r="E25" s="22" t="s">
        <v>427</v>
      </c>
      <c r="F25" s="20">
        <v>16.2</v>
      </c>
      <c r="G25" s="22">
        <v>46496</v>
      </c>
      <c r="H25" s="20" t="s">
        <v>231</v>
      </c>
      <c r="I25" s="20" t="s">
        <v>232</v>
      </c>
      <c r="J25" s="19" t="s">
        <v>171</v>
      </c>
      <c r="K25" s="23" t="s">
        <v>360</v>
      </c>
      <c r="L25" s="23" t="s">
        <v>443</v>
      </c>
      <c r="M25" s="18" t="s">
        <v>443</v>
      </c>
      <c r="N25" s="17">
        <v>-15</v>
      </c>
      <c r="O25" s="55">
        <v>15</v>
      </c>
      <c r="P25" s="56">
        <v>0.5</v>
      </c>
    </row>
    <row r="26" spans="1:16" ht="17" customHeight="1" x14ac:dyDescent="0.35">
      <c r="A26" s="17">
        <v>85</v>
      </c>
      <c r="B26" s="17" t="s">
        <v>205</v>
      </c>
      <c r="C26" s="15">
        <v>16.2</v>
      </c>
      <c r="D26" s="22">
        <v>12</v>
      </c>
      <c r="E26" s="22" t="s">
        <v>430</v>
      </c>
      <c r="F26" s="20">
        <v>16.2</v>
      </c>
      <c r="G26" s="22">
        <v>46930</v>
      </c>
      <c r="H26" s="20" t="s">
        <v>225</v>
      </c>
      <c r="I26" s="20" t="s">
        <v>373</v>
      </c>
      <c r="J26" s="19" t="s">
        <v>225</v>
      </c>
      <c r="K26" s="23" t="s">
        <v>225</v>
      </c>
      <c r="L26" s="23" t="s">
        <v>440</v>
      </c>
      <c r="M26" s="18" t="s">
        <v>440</v>
      </c>
      <c r="N26" s="17">
        <v>-14</v>
      </c>
      <c r="O26" s="55">
        <v>16</v>
      </c>
      <c r="P26" s="56">
        <v>0.53300000000000003</v>
      </c>
    </row>
    <row r="27" spans="1:16" ht="17" customHeight="1" x14ac:dyDescent="0.35">
      <c r="A27" s="17">
        <v>88</v>
      </c>
      <c r="B27" s="17" t="s">
        <v>205</v>
      </c>
      <c r="C27" s="15">
        <v>16.2</v>
      </c>
      <c r="D27" s="22">
        <v>14</v>
      </c>
      <c r="E27" s="17" t="s">
        <v>415</v>
      </c>
      <c r="F27" s="20">
        <v>16.2</v>
      </c>
      <c r="G27" s="22">
        <v>46939</v>
      </c>
      <c r="H27" s="29" t="s">
        <v>375</v>
      </c>
      <c r="I27" s="20" t="s">
        <v>376</v>
      </c>
      <c r="J27" s="19" t="s">
        <v>227</v>
      </c>
      <c r="K27" s="23" t="s">
        <v>227</v>
      </c>
      <c r="L27" s="23" t="s">
        <v>455</v>
      </c>
      <c r="M27" s="18" t="s">
        <v>455</v>
      </c>
      <c r="N27" s="17" t="e">
        <f>-G128+#REF!</f>
        <v>#REF!</v>
      </c>
      <c r="O27" s="55">
        <v>0</v>
      </c>
      <c r="P27" s="56">
        <v>0</v>
      </c>
    </row>
    <row r="28" spans="1:16" ht="17" customHeight="1" x14ac:dyDescent="0.35">
      <c r="A28" s="17">
        <v>89</v>
      </c>
      <c r="B28" s="17">
        <v>71</v>
      </c>
      <c r="C28" s="17"/>
      <c r="D28" s="17"/>
      <c r="E28" s="17"/>
      <c r="F28" s="17"/>
      <c r="G28" s="17">
        <v>47124</v>
      </c>
      <c r="H28" s="17" t="s">
        <v>436</v>
      </c>
      <c r="I28" s="40" t="s">
        <v>437</v>
      </c>
      <c r="J28" s="17" t="s">
        <v>438</v>
      </c>
      <c r="K28" s="15"/>
      <c r="L28" s="15" t="s">
        <v>456</v>
      </c>
      <c r="M28" s="18" t="s">
        <v>456</v>
      </c>
      <c r="N28" s="17"/>
      <c r="O28" s="55">
        <v>0</v>
      </c>
      <c r="P28" s="56">
        <v>0</v>
      </c>
    </row>
  </sheetData>
  <sortState xmlns:xlrd2="http://schemas.microsoft.com/office/spreadsheetml/2017/richdata2" ref="A1:P28">
    <sortCondition ref="A1:A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C194-8274-40E1-AAB5-A37D0E4F66E2}">
  <dimension ref="A1:T115"/>
  <sheetViews>
    <sheetView zoomScale="40" zoomScaleNormal="40" workbookViewId="0">
      <selection activeCell="N31" sqref="N31"/>
    </sheetView>
  </sheetViews>
  <sheetFormatPr defaultRowHeight="17" customHeight="1" x14ac:dyDescent="0.35"/>
  <cols>
    <col min="1" max="2" width="8.7265625" style="18"/>
    <col min="3" max="4" width="8.7265625" style="18" customWidth="1"/>
    <col min="5" max="5" width="14.36328125" style="18" customWidth="1"/>
    <col min="6" max="6" width="8.7265625" style="18" customWidth="1"/>
    <col min="7" max="8" width="14.90625" style="18" customWidth="1"/>
    <col min="9" max="9" width="8.7265625" style="18"/>
    <col min="10" max="10" width="15.1796875" style="18" customWidth="1"/>
    <col min="11" max="11" width="12.90625" style="18" bestFit="1" customWidth="1"/>
    <col min="12" max="12" width="19.90625" style="18" customWidth="1"/>
    <col min="13" max="13" width="8" style="18" customWidth="1"/>
    <col min="14" max="15" width="24.1796875" style="18" customWidth="1"/>
    <col min="16" max="16" width="14.6328125" style="18" customWidth="1"/>
    <col min="17" max="17" width="21.453125" style="47" customWidth="1"/>
    <col min="18" max="16384" width="8.7265625" style="18"/>
  </cols>
  <sheetData>
    <row r="1" spans="1:20" s="16" customFormat="1" ht="17" customHeight="1" x14ac:dyDescent="0.35">
      <c r="A1" s="17">
        <v>1</v>
      </c>
      <c r="B1" s="17"/>
      <c r="C1" s="15" t="s">
        <v>201</v>
      </c>
      <c r="D1" s="15">
        <v>11.1</v>
      </c>
      <c r="E1" s="15"/>
      <c r="F1" s="15"/>
      <c r="G1" s="19" t="s">
        <v>0</v>
      </c>
      <c r="H1" s="19" t="s">
        <v>417</v>
      </c>
      <c r="I1" s="20">
        <v>11.1</v>
      </c>
      <c r="J1" s="19"/>
      <c r="K1" s="21"/>
      <c r="L1" s="20" t="s">
        <v>233</v>
      </c>
      <c r="M1" s="19"/>
      <c r="N1" s="20"/>
      <c r="O1" s="20"/>
      <c r="P1" s="15" t="s">
        <v>431</v>
      </c>
      <c r="Q1" s="46"/>
      <c r="R1" s="18" t="s">
        <v>431</v>
      </c>
      <c r="S1" s="18"/>
      <c r="T1" s="18"/>
    </row>
    <row r="2" spans="1:20" ht="17" customHeight="1" x14ac:dyDescent="0.35">
      <c r="A2" s="17">
        <v>2</v>
      </c>
      <c r="B2" s="17">
        <v>1</v>
      </c>
      <c r="C2" s="17" t="s">
        <v>202</v>
      </c>
      <c r="D2" s="15">
        <v>11.1</v>
      </c>
      <c r="E2" s="9" t="s">
        <v>1</v>
      </c>
      <c r="F2" s="17"/>
      <c r="G2" s="22">
        <v>1</v>
      </c>
      <c r="H2" s="22" t="s">
        <v>418</v>
      </c>
      <c r="I2" s="20">
        <v>11.1</v>
      </c>
      <c r="J2" s="22">
        <v>42889</v>
      </c>
      <c r="K2" s="23" t="s">
        <v>234</v>
      </c>
      <c r="L2" s="23" t="s">
        <v>235</v>
      </c>
      <c r="M2" s="22" t="s">
        <v>3</v>
      </c>
      <c r="N2" s="23" t="s">
        <v>370</v>
      </c>
      <c r="O2" s="23" t="s">
        <v>444</v>
      </c>
      <c r="P2" s="17">
        <v>-2</v>
      </c>
      <c r="Q2" s="48" t="s">
        <v>444</v>
      </c>
      <c r="R2" s="18" t="s">
        <v>444</v>
      </c>
      <c r="S2" s="18">
        <v>28</v>
      </c>
      <c r="T2" s="50">
        <v>0.93300000000000005</v>
      </c>
    </row>
    <row r="3" spans="1:20" ht="17" customHeight="1" x14ac:dyDescent="0.35">
      <c r="A3" s="17">
        <v>3</v>
      </c>
      <c r="B3" s="17">
        <v>2</v>
      </c>
      <c r="C3" s="17" t="s">
        <v>202</v>
      </c>
      <c r="D3" s="15">
        <v>11.1</v>
      </c>
      <c r="E3" s="9" t="s">
        <v>4</v>
      </c>
      <c r="F3" s="17"/>
      <c r="G3" s="22">
        <v>2</v>
      </c>
      <c r="H3" s="22" t="s">
        <v>419</v>
      </c>
      <c r="I3" s="20">
        <v>11.1</v>
      </c>
      <c r="J3" s="22">
        <v>42956</v>
      </c>
      <c r="K3" s="23" t="s">
        <v>236</v>
      </c>
      <c r="L3" s="23" t="s">
        <v>237</v>
      </c>
      <c r="M3" s="22" t="s">
        <v>6</v>
      </c>
      <c r="N3" s="20" t="s">
        <v>403</v>
      </c>
      <c r="O3" s="20" t="s">
        <v>446</v>
      </c>
      <c r="P3" s="17">
        <v>-9</v>
      </c>
      <c r="Q3" s="49" t="s">
        <v>446</v>
      </c>
      <c r="R3" s="18" t="s">
        <v>446</v>
      </c>
      <c r="S3" s="18">
        <v>21</v>
      </c>
      <c r="T3" s="50">
        <v>0.7</v>
      </c>
    </row>
    <row r="4" spans="1:20" ht="17" customHeight="1" x14ac:dyDescent="0.35">
      <c r="A4" s="17">
        <v>4</v>
      </c>
      <c r="B4" s="17">
        <v>3</v>
      </c>
      <c r="C4" s="17" t="s">
        <v>202</v>
      </c>
      <c r="D4" s="15">
        <v>11.1</v>
      </c>
      <c r="E4" s="9" t="s">
        <v>7</v>
      </c>
      <c r="F4" s="17"/>
      <c r="G4" s="22">
        <v>3</v>
      </c>
      <c r="H4" s="22" t="s">
        <v>420</v>
      </c>
      <c r="I4" s="20">
        <v>11.1</v>
      </c>
      <c r="J4" s="22">
        <v>42974</v>
      </c>
      <c r="K4" s="23" t="s">
        <v>238</v>
      </c>
      <c r="L4" s="23" t="s">
        <v>239</v>
      </c>
      <c r="M4" s="22" t="s">
        <v>9</v>
      </c>
      <c r="N4" s="23" t="s">
        <v>9</v>
      </c>
      <c r="O4" s="23" t="s">
        <v>447</v>
      </c>
      <c r="P4" s="17">
        <v>-4</v>
      </c>
      <c r="Q4" s="48" t="s">
        <v>447</v>
      </c>
      <c r="R4" s="18" t="s">
        <v>447</v>
      </c>
      <c r="S4" s="18">
        <v>26</v>
      </c>
      <c r="T4" s="50">
        <v>0.86699999999999999</v>
      </c>
    </row>
    <row r="5" spans="1:20" ht="17" customHeight="1" x14ac:dyDescent="0.35">
      <c r="A5" s="17">
        <v>5</v>
      </c>
      <c r="B5" s="17">
        <v>4</v>
      </c>
      <c r="C5" s="17" t="s">
        <v>203</v>
      </c>
      <c r="D5" s="15">
        <v>11.1</v>
      </c>
      <c r="E5" s="9" t="s">
        <v>10</v>
      </c>
      <c r="F5" s="17"/>
      <c r="G5" s="22">
        <v>4</v>
      </c>
      <c r="H5" s="22" t="s">
        <v>421</v>
      </c>
      <c r="I5" s="20">
        <v>11.1</v>
      </c>
      <c r="J5" s="22">
        <v>42978</v>
      </c>
      <c r="K5" s="23" t="s">
        <v>240</v>
      </c>
      <c r="L5" s="23" t="s">
        <v>241</v>
      </c>
      <c r="M5" s="19" t="s">
        <v>348</v>
      </c>
      <c r="N5" s="20" t="s">
        <v>402</v>
      </c>
      <c r="O5" s="20" t="s">
        <v>448</v>
      </c>
      <c r="P5" s="17">
        <v>30</v>
      </c>
      <c r="Q5" s="48" t="s">
        <v>448</v>
      </c>
      <c r="R5" s="18" t="s">
        <v>448</v>
      </c>
      <c r="S5" s="18">
        <v>30</v>
      </c>
      <c r="T5" s="50">
        <v>1</v>
      </c>
    </row>
    <row r="6" spans="1:20" s="32" customFormat="1" ht="17" customHeight="1" x14ac:dyDescent="0.35">
      <c r="A6" s="33">
        <v>6</v>
      </c>
      <c r="B6" s="33"/>
      <c r="C6" s="33"/>
      <c r="D6" s="33"/>
      <c r="E6" s="41"/>
      <c r="F6" s="33"/>
      <c r="G6" s="35"/>
      <c r="H6" s="35" t="s">
        <v>411</v>
      </c>
      <c r="I6" s="36">
        <v>0</v>
      </c>
      <c r="J6" s="35">
        <v>55555</v>
      </c>
      <c r="K6" s="36" t="s">
        <v>412</v>
      </c>
      <c r="L6" s="36" t="s">
        <v>416</v>
      </c>
      <c r="M6" s="35"/>
      <c r="N6" s="36"/>
      <c r="O6" s="36" t="s">
        <v>449</v>
      </c>
      <c r="P6" s="33"/>
      <c r="Q6" s="48" t="s">
        <v>449</v>
      </c>
      <c r="R6" s="18" t="s">
        <v>449</v>
      </c>
      <c r="S6" s="18"/>
      <c r="T6" s="18"/>
    </row>
    <row r="7" spans="1:20" ht="17" customHeight="1" x14ac:dyDescent="0.35">
      <c r="A7" s="17">
        <v>7</v>
      </c>
      <c r="B7" s="17">
        <v>5</v>
      </c>
      <c r="C7" s="17" t="s">
        <v>203</v>
      </c>
      <c r="D7" s="15">
        <v>11.1</v>
      </c>
      <c r="E7" s="9" t="s">
        <v>12</v>
      </c>
      <c r="F7" s="17"/>
      <c r="G7" s="22">
        <v>5</v>
      </c>
      <c r="H7" s="22" t="s">
        <v>422</v>
      </c>
      <c r="I7" s="20">
        <v>11.1</v>
      </c>
      <c r="J7" s="22">
        <v>42979</v>
      </c>
      <c r="K7" s="23" t="s">
        <v>242</v>
      </c>
      <c r="L7" s="23" t="s">
        <v>243</v>
      </c>
      <c r="M7" s="22" t="s">
        <v>14</v>
      </c>
      <c r="N7" s="23" t="s">
        <v>368</v>
      </c>
      <c r="O7" s="23" t="s">
        <v>450</v>
      </c>
      <c r="P7" s="17">
        <v>-7</v>
      </c>
      <c r="Q7" t="s">
        <v>450</v>
      </c>
      <c r="R7" s="18" t="s">
        <v>450</v>
      </c>
      <c r="S7" s="18">
        <v>23</v>
      </c>
      <c r="T7" s="50">
        <v>0.76700000000000002</v>
      </c>
    </row>
    <row r="8" spans="1:20" ht="17" customHeight="1" x14ac:dyDescent="0.35">
      <c r="A8" s="17">
        <v>8</v>
      </c>
      <c r="B8" s="17">
        <v>6</v>
      </c>
      <c r="C8" s="17" t="s">
        <v>203</v>
      </c>
      <c r="D8" s="15">
        <v>11.1</v>
      </c>
      <c r="E8" s="9" t="s">
        <v>15</v>
      </c>
      <c r="F8" s="17"/>
      <c r="G8" s="22">
        <v>6</v>
      </c>
      <c r="H8" s="22" t="s">
        <v>423</v>
      </c>
      <c r="I8" s="20">
        <v>11.1</v>
      </c>
      <c r="J8" s="22">
        <v>42995</v>
      </c>
      <c r="K8" s="23" t="s">
        <v>244</v>
      </c>
      <c r="L8" s="23" t="s">
        <v>245</v>
      </c>
      <c r="M8" s="22" t="s">
        <v>17</v>
      </c>
      <c r="N8" s="23" t="s">
        <v>17</v>
      </c>
      <c r="O8" s="23" t="s">
        <v>442</v>
      </c>
      <c r="P8" s="17">
        <v>30</v>
      </c>
      <c r="Q8" s="48" t="s">
        <v>442</v>
      </c>
      <c r="R8" s="18" t="s">
        <v>442</v>
      </c>
      <c r="S8" s="18">
        <v>30</v>
      </c>
      <c r="T8" s="50">
        <v>1</v>
      </c>
    </row>
    <row r="9" spans="1:20" ht="17" customHeight="1" x14ac:dyDescent="0.35">
      <c r="A9" s="17">
        <v>9</v>
      </c>
      <c r="B9" s="17">
        <v>7</v>
      </c>
      <c r="C9" s="17" t="s">
        <v>204</v>
      </c>
      <c r="D9" s="15">
        <v>11.1</v>
      </c>
      <c r="E9" s="9" t="s">
        <v>18</v>
      </c>
      <c r="F9" s="17"/>
      <c r="G9" s="22">
        <v>7</v>
      </c>
      <c r="H9" s="22" t="s">
        <v>424</v>
      </c>
      <c r="I9" s="20">
        <v>11.1</v>
      </c>
      <c r="J9" s="22">
        <v>43015</v>
      </c>
      <c r="K9" s="23" t="s">
        <v>246</v>
      </c>
      <c r="L9" s="23" t="s">
        <v>247</v>
      </c>
      <c r="M9" s="22" t="s">
        <v>20</v>
      </c>
      <c r="N9" s="23" t="s">
        <v>369</v>
      </c>
      <c r="O9" s="23" t="s">
        <v>441</v>
      </c>
      <c r="P9" s="17">
        <v>-2</v>
      </c>
      <c r="Q9" s="48" t="s">
        <v>441</v>
      </c>
      <c r="R9" s="18" t="s">
        <v>441</v>
      </c>
      <c r="S9" s="18">
        <v>28</v>
      </c>
      <c r="T9" s="50">
        <v>0.93300000000000005</v>
      </c>
    </row>
    <row r="10" spans="1:20" ht="17" customHeight="1" x14ac:dyDescent="0.35">
      <c r="A10" s="17">
        <v>10</v>
      </c>
      <c r="B10" s="17">
        <v>8</v>
      </c>
      <c r="C10" s="17" t="s">
        <v>204</v>
      </c>
      <c r="D10" s="15">
        <v>11.1</v>
      </c>
      <c r="E10" s="9" t="s">
        <v>21</v>
      </c>
      <c r="F10" s="17"/>
      <c r="G10" s="22">
        <v>8</v>
      </c>
      <c r="H10" s="22" t="s">
        <v>425</v>
      </c>
      <c r="I10" s="20">
        <v>11.1</v>
      </c>
      <c r="J10" s="22">
        <v>43017</v>
      </c>
      <c r="K10" s="23" t="s">
        <v>248</v>
      </c>
      <c r="L10" s="23" t="s">
        <v>249</v>
      </c>
      <c r="M10" s="22" t="s">
        <v>22</v>
      </c>
      <c r="N10" s="23" t="s">
        <v>22</v>
      </c>
      <c r="O10" s="23" t="s">
        <v>439</v>
      </c>
      <c r="P10" s="33" t="s">
        <v>233</v>
      </c>
      <c r="Q10" s="48" t="s">
        <v>439</v>
      </c>
      <c r="R10" s="18" t="s">
        <v>439</v>
      </c>
    </row>
    <row r="11" spans="1:20" ht="17" customHeight="1" x14ac:dyDescent="0.35">
      <c r="A11" s="17">
        <v>11</v>
      </c>
      <c r="B11" s="17">
        <v>9</v>
      </c>
      <c r="C11" s="17" t="s">
        <v>204</v>
      </c>
      <c r="D11" s="15">
        <v>11.1</v>
      </c>
      <c r="E11" s="9" t="s">
        <v>23</v>
      </c>
      <c r="F11" s="17"/>
      <c r="G11" s="22">
        <v>9</v>
      </c>
      <c r="H11" s="22" t="s">
        <v>426</v>
      </c>
      <c r="I11" s="20">
        <v>11.1</v>
      </c>
      <c r="J11" s="22">
        <v>43150</v>
      </c>
      <c r="K11" s="23" t="s">
        <v>250</v>
      </c>
      <c r="L11" s="23" t="s">
        <v>251</v>
      </c>
      <c r="M11" s="22" t="s">
        <v>25</v>
      </c>
      <c r="N11" s="23" t="s">
        <v>367</v>
      </c>
      <c r="O11" s="23" t="s">
        <v>451</v>
      </c>
      <c r="P11" s="17">
        <v>-10</v>
      </c>
      <c r="Q11" s="48" t="s">
        <v>451</v>
      </c>
      <c r="R11" s="18" t="s">
        <v>451</v>
      </c>
      <c r="S11" s="18">
        <v>20</v>
      </c>
      <c r="T11" s="50">
        <v>0.66700000000000004</v>
      </c>
    </row>
    <row r="12" spans="1:20" ht="17" customHeight="1" x14ac:dyDescent="0.35">
      <c r="A12" s="17">
        <v>12</v>
      </c>
      <c r="B12" s="17">
        <v>10</v>
      </c>
      <c r="C12" s="17" t="s">
        <v>204</v>
      </c>
      <c r="D12" s="15">
        <v>11.1</v>
      </c>
      <c r="E12" s="9" t="s">
        <v>26</v>
      </c>
      <c r="F12" s="17"/>
      <c r="G12" s="22">
        <v>10</v>
      </c>
      <c r="H12" s="22" t="s">
        <v>427</v>
      </c>
      <c r="I12" s="20">
        <v>11.1</v>
      </c>
      <c r="J12" s="22">
        <v>43163</v>
      </c>
      <c r="K12" s="23" t="s">
        <v>252</v>
      </c>
      <c r="L12" s="23" t="s">
        <v>253</v>
      </c>
      <c r="M12" s="22" t="s">
        <v>28</v>
      </c>
      <c r="N12" s="23" t="s">
        <v>28</v>
      </c>
      <c r="O12" s="23" t="s">
        <v>443</v>
      </c>
      <c r="P12" s="17">
        <v>30</v>
      </c>
      <c r="Q12" s="48" t="s">
        <v>443</v>
      </c>
      <c r="R12" s="18" t="s">
        <v>443</v>
      </c>
      <c r="S12" s="18">
        <v>30</v>
      </c>
      <c r="T12" s="50">
        <v>1</v>
      </c>
    </row>
    <row r="13" spans="1:20" ht="17" customHeight="1" x14ac:dyDescent="0.35">
      <c r="A13" s="17">
        <v>13</v>
      </c>
      <c r="B13" s="17">
        <v>11</v>
      </c>
      <c r="C13" s="17" t="s">
        <v>205</v>
      </c>
      <c r="D13" s="15">
        <v>11.1</v>
      </c>
      <c r="E13" s="9" t="s">
        <v>29</v>
      </c>
      <c r="F13" s="17"/>
      <c r="G13" s="22">
        <v>11</v>
      </c>
      <c r="H13" s="22" t="s">
        <v>428</v>
      </c>
      <c r="I13" s="20">
        <v>11.1</v>
      </c>
      <c r="J13" s="22">
        <v>43173</v>
      </c>
      <c r="K13" s="23" t="s">
        <v>254</v>
      </c>
      <c r="L13" s="23" t="s">
        <v>255</v>
      </c>
      <c r="M13" s="22" t="s">
        <v>31</v>
      </c>
      <c r="N13" s="23" t="s">
        <v>371</v>
      </c>
      <c r="O13" s="23" t="s">
        <v>452</v>
      </c>
      <c r="P13" s="17">
        <v>-1</v>
      </c>
      <c r="Q13" s="49" t="s">
        <v>452</v>
      </c>
      <c r="R13" s="18" t="s">
        <v>452</v>
      </c>
      <c r="S13" s="18">
        <v>29</v>
      </c>
      <c r="T13" s="50">
        <v>0.96699999999999997</v>
      </c>
    </row>
    <row r="14" spans="1:20" ht="17" customHeight="1" x14ac:dyDescent="0.35">
      <c r="A14" s="17">
        <v>14</v>
      </c>
      <c r="B14" s="17">
        <v>12</v>
      </c>
      <c r="C14" s="17" t="s">
        <v>205</v>
      </c>
      <c r="D14" s="15">
        <v>11.1</v>
      </c>
      <c r="E14" s="9" t="s">
        <v>32</v>
      </c>
      <c r="F14" s="17"/>
      <c r="G14" s="22">
        <v>12</v>
      </c>
      <c r="H14" s="22" t="s">
        <v>429</v>
      </c>
      <c r="I14" s="20">
        <v>11.1</v>
      </c>
      <c r="J14" s="22">
        <v>43217</v>
      </c>
      <c r="K14" s="23" t="s">
        <v>256</v>
      </c>
      <c r="L14" s="23" t="s">
        <v>257</v>
      </c>
      <c r="M14" s="22" t="s">
        <v>34</v>
      </c>
      <c r="N14" s="23" t="s">
        <v>372</v>
      </c>
      <c r="O14" s="23" t="s">
        <v>453</v>
      </c>
      <c r="P14" s="17">
        <v>30</v>
      </c>
      <c r="Q14" s="49" t="s">
        <v>453</v>
      </c>
      <c r="R14" s="18" t="s">
        <v>453</v>
      </c>
      <c r="S14" s="18">
        <v>30</v>
      </c>
      <c r="T14" s="50">
        <v>1</v>
      </c>
    </row>
    <row r="15" spans="1:20" ht="17" customHeight="1" x14ac:dyDescent="0.35">
      <c r="A15" s="17">
        <v>15</v>
      </c>
      <c r="B15" s="17">
        <v>13</v>
      </c>
      <c r="C15" s="17" t="s">
        <v>205</v>
      </c>
      <c r="D15" s="15">
        <v>11.1</v>
      </c>
      <c r="E15" s="9" t="s">
        <v>35</v>
      </c>
      <c r="F15" s="17"/>
      <c r="G15" s="22">
        <v>13</v>
      </c>
      <c r="H15" s="22" t="s">
        <v>430</v>
      </c>
      <c r="I15" s="20">
        <v>11.1</v>
      </c>
      <c r="J15" s="22">
        <v>43220</v>
      </c>
      <c r="K15" s="23" t="s">
        <v>258</v>
      </c>
      <c r="L15" s="23" t="s">
        <v>259</v>
      </c>
      <c r="M15" s="22" t="s">
        <v>37</v>
      </c>
      <c r="N15" s="23" t="s">
        <v>37</v>
      </c>
      <c r="O15" s="23" t="s">
        <v>440</v>
      </c>
      <c r="P15" s="17">
        <v>-1</v>
      </c>
      <c r="Q15" s="48" t="s">
        <v>440</v>
      </c>
      <c r="R15" s="18" t="s">
        <v>440</v>
      </c>
      <c r="S15" s="18">
        <v>29</v>
      </c>
      <c r="T15" s="50">
        <v>0.96699999999999997</v>
      </c>
    </row>
    <row r="16" spans="1:20" ht="17" customHeight="1" x14ac:dyDescent="0.35">
      <c r="A16" s="17">
        <v>16</v>
      </c>
      <c r="B16" s="17"/>
      <c r="C16" s="17"/>
      <c r="D16" s="15"/>
      <c r="E16" s="9"/>
      <c r="F16" s="17"/>
      <c r="G16" s="22"/>
      <c r="H16" s="22" t="s">
        <v>413</v>
      </c>
      <c r="I16" s="20">
        <v>0</v>
      </c>
      <c r="J16" s="22">
        <v>55555</v>
      </c>
      <c r="K16" s="23" t="s">
        <v>412</v>
      </c>
      <c r="L16" s="23"/>
      <c r="M16" s="22"/>
      <c r="N16" s="23"/>
      <c r="O16" s="23" t="s">
        <v>454</v>
      </c>
      <c r="P16" s="17"/>
      <c r="Q16" s="48" t="s">
        <v>454</v>
      </c>
      <c r="R16" s="18" t="s">
        <v>454</v>
      </c>
    </row>
    <row r="17" spans="1:20" ht="17" customHeight="1" x14ac:dyDescent="0.35">
      <c r="A17" s="17">
        <v>17</v>
      </c>
      <c r="B17" s="17">
        <v>14</v>
      </c>
      <c r="C17" s="17" t="s">
        <v>205</v>
      </c>
      <c r="D17" s="15">
        <v>11.1</v>
      </c>
      <c r="E17" s="9" t="s">
        <v>38</v>
      </c>
      <c r="F17" s="17"/>
      <c r="G17" s="22">
        <v>14</v>
      </c>
      <c r="H17" s="22" t="s">
        <v>414</v>
      </c>
      <c r="I17" s="20">
        <v>11.1</v>
      </c>
      <c r="J17" s="22">
        <v>43226</v>
      </c>
      <c r="K17" s="23" t="s">
        <v>260</v>
      </c>
      <c r="L17" s="23" t="s">
        <v>261</v>
      </c>
      <c r="M17" s="22" t="s">
        <v>40</v>
      </c>
      <c r="N17" s="20" t="s">
        <v>402</v>
      </c>
      <c r="O17" s="20" t="s">
        <v>445</v>
      </c>
      <c r="P17" s="17">
        <v>30</v>
      </c>
      <c r="Q17" s="48" t="s">
        <v>445</v>
      </c>
      <c r="R17" s="18" t="s">
        <v>445</v>
      </c>
      <c r="S17" s="18">
        <v>30</v>
      </c>
      <c r="T17" s="50">
        <v>1</v>
      </c>
    </row>
    <row r="18" spans="1:20" s="16" customFormat="1" ht="17" customHeight="1" x14ac:dyDescent="0.35">
      <c r="A18" s="17">
        <v>18</v>
      </c>
      <c r="B18" s="17"/>
      <c r="C18" s="15" t="s">
        <v>207</v>
      </c>
      <c r="D18" s="15">
        <v>13.2</v>
      </c>
      <c r="E18" s="15"/>
      <c r="F18" s="15"/>
      <c r="G18" s="19" t="s">
        <v>87</v>
      </c>
      <c r="H18" s="19" t="s">
        <v>417</v>
      </c>
      <c r="I18" s="20">
        <v>13.2</v>
      </c>
      <c r="J18" s="19"/>
      <c r="K18" s="20" t="s">
        <v>233</v>
      </c>
      <c r="L18" s="20" t="s">
        <v>233</v>
      </c>
      <c r="M18" s="19"/>
      <c r="N18" s="20"/>
      <c r="O18" s="20"/>
      <c r="P18" s="15"/>
      <c r="Q18" s="46"/>
      <c r="R18" s="18" t="s">
        <v>460</v>
      </c>
      <c r="S18" s="18"/>
      <c r="T18" s="18"/>
    </row>
    <row r="19" spans="1:20" ht="17" customHeight="1" x14ac:dyDescent="0.35">
      <c r="A19" s="17">
        <v>19</v>
      </c>
      <c r="B19" s="17">
        <v>1</v>
      </c>
      <c r="C19" s="17" t="s">
        <v>202</v>
      </c>
      <c r="D19" s="15">
        <v>13.2</v>
      </c>
      <c r="E19" s="9" t="s">
        <v>88</v>
      </c>
      <c r="F19" s="17"/>
      <c r="G19" s="22">
        <v>1</v>
      </c>
      <c r="H19" s="22" t="s">
        <v>418</v>
      </c>
      <c r="I19" s="20">
        <v>13.2</v>
      </c>
      <c r="J19" s="22">
        <v>42888</v>
      </c>
      <c r="K19" s="23" t="s">
        <v>262</v>
      </c>
      <c r="L19" s="23" t="s">
        <v>263</v>
      </c>
      <c r="M19" s="22" t="s">
        <v>90</v>
      </c>
      <c r="N19" s="23" t="s">
        <v>410</v>
      </c>
      <c r="O19" s="23" t="s">
        <v>444</v>
      </c>
      <c r="P19" s="17">
        <v>-4</v>
      </c>
      <c r="Q19" s="48" t="s">
        <v>444</v>
      </c>
    </row>
    <row r="20" spans="1:20" ht="17" customHeight="1" x14ac:dyDescent="0.35">
      <c r="A20" s="17">
        <v>20</v>
      </c>
      <c r="B20" s="17">
        <v>2</v>
      </c>
      <c r="C20" s="17" t="s">
        <v>202</v>
      </c>
      <c r="D20" s="15">
        <v>13.2</v>
      </c>
      <c r="E20" s="9" t="s">
        <v>91</v>
      </c>
      <c r="F20" s="17"/>
      <c r="G20" s="22">
        <v>2</v>
      </c>
      <c r="H20" s="22" t="s">
        <v>419</v>
      </c>
      <c r="I20" s="20">
        <v>13.2</v>
      </c>
      <c r="J20" s="22">
        <v>42929</v>
      </c>
      <c r="K20" s="23" t="s">
        <v>264</v>
      </c>
      <c r="L20" s="23" t="s">
        <v>265</v>
      </c>
      <c r="M20" s="22" t="s">
        <v>93</v>
      </c>
      <c r="N20" s="23" t="s">
        <v>407</v>
      </c>
      <c r="O20" s="23" t="s">
        <v>446</v>
      </c>
      <c r="P20" s="17">
        <v>-4</v>
      </c>
      <c r="Q20" s="49" t="s">
        <v>446</v>
      </c>
      <c r="R20" s="18" t="s">
        <v>461</v>
      </c>
    </row>
    <row r="21" spans="1:20" ht="17" customHeight="1" x14ac:dyDescent="0.35">
      <c r="A21" s="17">
        <v>21</v>
      </c>
      <c r="B21" s="17">
        <v>3</v>
      </c>
      <c r="C21" s="17" t="s">
        <v>202</v>
      </c>
      <c r="D21" s="15">
        <v>13.2</v>
      </c>
      <c r="E21" s="9" t="s">
        <v>94</v>
      </c>
      <c r="F21" s="17"/>
      <c r="G21" s="22">
        <v>3</v>
      </c>
      <c r="H21" s="22" t="s">
        <v>420</v>
      </c>
      <c r="I21" s="20">
        <v>13.2</v>
      </c>
      <c r="J21" s="22">
        <v>42970</v>
      </c>
      <c r="K21" s="23" t="s">
        <v>266</v>
      </c>
      <c r="L21" s="23" t="s">
        <v>267</v>
      </c>
      <c r="M21" s="22" t="s">
        <v>96</v>
      </c>
      <c r="N21" s="23" t="s">
        <v>266</v>
      </c>
      <c r="O21" s="23" t="s">
        <v>447</v>
      </c>
      <c r="P21" s="17">
        <v>-3</v>
      </c>
      <c r="Q21" s="48" t="s">
        <v>447</v>
      </c>
    </row>
    <row r="22" spans="1:20" ht="17" customHeight="1" x14ac:dyDescent="0.35">
      <c r="A22" s="17">
        <v>22</v>
      </c>
      <c r="B22" s="17">
        <v>4</v>
      </c>
      <c r="C22" s="17"/>
      <c r="D22" s="15"/>
      <c r="E22" s="9"/>
      <c r="F22" s="17"/>
      <c r="G22" s="22"/>
      <c r="H22" s="22"/>
      <c r="I22" s="20"/>
      <c r="J22" s="22">
        <v>42984</v>
      </c>
      <c r="K22" s="23" t="s">
        <v>432</v>
      </c>
      <c r="L22" s="23" t="s">
        <v>433</v>
      </c>
      <c r="M22" s="19"/>
      <c r="N22" s="20"/>
      <c r="O22" s="20" t="s">
        <v>448</v>
      </c>
      <c r="P22" s="17">
        <v>30</v>
      </c>
      <c r="Q22" s="48" t="s">
        <v>448</v>
      </c>
      <c r="R22" s="18" t="s">
        <v>457</v>
      </c>
      <c r="S22" s="18" t="s">
        <v>458</v>
      </c>
      <c r="T22" s="18" t="s">
        <v>459</v>
      </c>
    </row>
    <row r="23" spans="1:20" ht="17" customHeight="1" x14ac:dyDescent="0.35">
      <c r="A23" s="17">
        <v>23</v>
      </c>
      <c r="B23" s="17">
        <v>5</v>
      </c>
      <c r="C23" s="17" t="s">
        <v>203</v>
      </c>
      <c r="D23" s="15">
        <v>13.2</v>
      </c>
      <c r="E23" s="9" t="s">
        <v>97</v>
      </c>
      <c r="F23" s="17"/>
      <c r="G23" s="22">
        <v>4</v>
      </c>
      <c r="H23" s="22" t="s">
        <v>421</v>
      </c>
      <c r="I23" s="20">
        <v>13.2</v>
      </c>
      <c r="J23" s="22">
        <v>42981</v>
      </c>
      <c r="K23" s="23" t="s">
        <v>268</v>
      </c>
      <c r="L23" s="23" t="s">
        <v>269</v>
      </c>
      <c r="M23" s="22" t="s">
        <v>99</v>
      </c>
      <c r="N23" s="23" t="s">
        <v>99</v>
      </c>
      <c r="O23" s="23" t="s">
        <v>449</v>
      </c>
      <c r="P23" s="17">
        <v>-5</v>
      </c>
      <c r="Q23" s="48" t="s">
        <v>449</v>
      </c>
      <c r="R23" s="18" t="s">
        <v>444</v>
      </c>
      <c r="S23" s="18">
        <v>26</v>
      </c>
      <c r="T23" s="50">
        <v>0.86699999999999999</v>
      </c>
    </row>
    <row r="24" spans="1:20" s="32" customFormat="1" ht="17" customHeight="1" x14ac:dyDescent="0.35">
      <c r="A24" s="33">
        <v>24</v>
      </c>
      <c r="B24" s="33"/>
      <c r="C24" s="33"/>
      <c r="D24" s="33"/>
      <c r="E24" s="41"/>
      <c r="F24" s="33"/>
      <c r="G24" s="35"/>
      <c r="H24" s="35" t="s">
        <v>411</v>
      </c>
      <c r="I24" s="36">
        <v>0</v>
      </c>
      <c r="J24" s="35">
        <v>55555</v>
      </c>
      <c r="K24" s="36" t="s">
        <v>412</v>
      </c>
      <c r="L24" s="36" t="s">
        <v>416</v>
      </c>
      <c r="M24" s="35"/>
      <c r="N24" s="36"/>
      <c r="O24" s="36" t="s">
        <v>450</v>
      </c>
      <c r="P24" s="33"/>
      <c r="Q24" t="s">
        <v>450</v>
      </c>
      <c r="R24" s="18" t="s">
        <v>446</v>
      </c>
      <c r="S24" s="18">
        <v>26</v>
      </c>
      <c r="T24" s="50">
        <v>0.86699999999999999</v>
      </c>
    </row>
    <row r="25" spans="1:20" ht="17" customHeight="1" x14ac:dyDescent="0.35">
      <c r="A25" s="17">
        <v>25</v>
      </c>
      <c r="B25" s="17">
        <v>6</v>
      </c>
      <c r="C25" s="17" t="s">
        <v>203</v>
      </c>
      <c r="D25" s="15">
        <v>13.2</v>
      </c>
      <c r="E25" s="9" t="s">
        <v>100</v>
      </c>
      <c r="F25" s="17"/>
      <c r="G25" s="22">
        <v>5</v>
      </c>
      <c r="H25" s="22" t="s">
        <v>422</v>
      </c>
      <c r="I25" s="20">
        <v>13.2</v>
      </c>
      <c r="J25" s="22">
        <v>42997</v>
      </c>
      <c r="K25" s="23" t="s">
        <v>270</v>
      </c>
      <c r="L25" s="23" t="s">
        <v>271</v>
      </c>
      <c r="M25" s="22" t="s">
        <v>102</v>
      </c>
      <c r="N25" s="23" t="s">
        <v>102</v>
      </c>
      <c r="O25" s="23" t="s">
        <v>442</v>
      </c>
      <c r="P25" s="17">
        <v>30</v>
      </c>
      <c r="Q25" s="48" t="s">
        <v>442</v>
      </c>
      <c r="R25" s="18" t="s">
        <v>447</v>
      </c>
      <c r="S25" s="18">
        <v>27</v>
      </c>
      <c r="T25" s="50">
        <v>0.9</v>
      </c>
    </row>
    <row r="26" spans="1:20" ht="17" customHeight="1" x14ac:dyDescent="0.35">
      <c r="A26" s="17">
        <v>26</v>
      </c>
      <c r="B26" s="17">
        <v>7</v>
      </c>
      <c r="C26" s="17" t="s">
        <v>203</v>
      </c>
      <c r="D26" s="15">
        <v>13.2</v>
      </c>
      <c r="E26" s="9" t="s">
        <v>103</v>
      </c>
      <c r="F26" s="17"/>
      <c r="G26" s="22">
        <v>6</v>
      </c>
      <c r="H26" s="22" t="s">
        <v>423</v>
      </c>
      <c r="I26" s="20">
        <v>13.2</v>
      </c>
      <c r="J26" s="22">
        <v>43038</v>
      </c>
      <c r="K26" s="23" t="s">
        <v>272</v>
      </c>
      <c r="L26" s="23" t="s">
        <v>273</v>
      </c>
      <c r="M26" s="22" t="s">
        <v>105</v>
      </c>
      <c r="N26" s="23" t="s">
        <v>409</v>
      </c>
      <c r="O26" s="23" t="s">
        <v>441</v>
      </c>
      <c r="P26" s="17">
        <v>-6</v>
      </c>
      <c r="Q26" s="48" t="s">
        <v>441</v>
      </c>
      <c r="R26" s="18" t="s">
        <v>448</v>
      </c>
      <c r="S26" s="18">
        <v>30</v>
      </c>
      <c r="T26" s="50">
        <v>1</v>
      </c>
    </row>
    <row r="27" spans="1:20" ht="17" customHeight="1" x14ac:dyDescent="0.35">
      <c r="A27" s="17">
        <v>27</v>
      </c>
      <c r="B27" s="17">
        <v>8</v>
      </c>
      <c r="C27" s="17" t="s">
        <v>204</v>
      </c>
      <c r="D27" s="15">
        <v>13.2</v>
      </c>
      <c r="E27" s="9" t="s">
        <v>106</v>
      </c>
      <c r="F27" s="17"/>
      <c r="G27" s="22">
        <v>7</v>
      </c>
      <c r="H27" s="22" t="s">
        <v>424</v>
      </c>
      <c r="I27" s="20">
        <v>13.2</v>
      </c>
      <c r="J27" s="22">
        <v>43049</v>
      </c>
      <c r="K27" s="23" t="s">
        <v>274</v>
      </c>
      <c r="L27" s="23" t="s">
        <v>275</v>
      </c>
      <c r="M27" s="22" t="s">
        <v>108</v>
      </c>
      <c r="N27" s="23" t="s">
        <v>408</v>
      </c>
      <c r="O27" s="23" t="s">
        <v>439</v>
      </c>
      <c r="P27" s="17">
        <v>30</v>
      </c>
      <c r="Q27" s="48" t="s">
        <v>439</v>
      </c>
      <c r="R27" s="18" t="s">
        <v>449</v>
      </c>
      <c r="S27" s="18">
        <v>25</v>
      </c>
      <c r="T27" s="50">
        <v>0.83299999999999996</v>
      </c>
    </row>
    <row r="28" spans="1:20" ht="17" customHeight="1" x14ac:dyDescent="0.35">
      <c r="A28" s="17">
        <v>28</v>
      </c>
      <c r="B28" s="17">
        <v>9</v>
      </c>
      <c r="C28" s="17" t="s">
        <v>204</v>
      </c>
      <c r="D28" s="15">
        <v>13.2</v>
      </c>
      <c r="E28" s="9" t="s">
        <v>109</v>
      </c>
      <c r="F28" s="17"/>
      <c r="G28" s="22">
        <v>8</v>
      </c>
      <c r="H28" s="22" t="s">
        <v>425</v>
      </c>
      <c r="I28" s="20">
        <v>13.2</v>
      </c>
      <c r="J28" s="22">
        <v>43061</v>
      </c>
      <c r="K28" s="23" t="s">
        <v>276</v>
      </c>
      <c r="L28" s="23" t="s">
        <v>277</v>
      </c>
      <c r="M28" s="22" t="s">
        <v>111</v>
      </c>
      <c r="N28" s="23" t="s">
        <v>405</v>
      </c>
      <c r="O28" s="23" t="s">
        <v>451</v>
      </c>
      <c r="P28" s="17">
        <v>30</v>
      </c>
      <c r="Q28" s="48" t="s">
        <v>451</v>
      </c>
      <c r="R28" s="18" t="s">
        <v>450</v>
      </c>
    </row>
    <row r="29" spans="1:20" ht="17" customHeight="1" x14ac:dyDescent="0.35">
      <c r="A29" s="17">
        <v>29</v>
      </c>
      <c r="B29" s="17">
        <v>10</v>
      </c>
      <c r="C29" s="17" t="s">
        <v>204</v>
      </c>
      <c r="D29" s="15">
        <v>13.2</v>
      </c>
      <c r="E29" s="9" t="s">
        <v>112</v>
      </c>
      <c r="F29" s="17"/>
      <c r="G29" s="22">
        <v>9</v>
      </c>
      <c r="H29" s="22" t="s">
        <v>426</v>
      </c>
      <c r="I29" s="20">
        <v>13.2</v>
      </c>
      <c r="J29" s="22">
        <v>43071</v>
      </c>
      <c r="K29" s="23" t="s">
        <v>278</v>
      </c>
      <c r="L29" s="23" t="s">
        <v>279</v>
      </c>
      <c r="M29" s="22" t="s">
        <v>114</v>
      </c>
      <c r="N29" s="20"/>
      <c r="O29" s="20" t="s">
        <v>443</v>
      </c>
      <c r="P29" s="17">
        <v>30</v>
      </c>
      <c r="Q29" s="48" t="s">
        <v>443</v>
      </c>
      <c r="R29" s="18" t="s">
        <v>442</v>
      </c>
      <c r="S29" s="18">
        <v>30</v>
      </c>
      <c r="T29" s="50">
        <v>1</v>
      </c>
    </row>
    <row r="30" spans="1:20" ht="17" customHeight="1" x14ac:dyDescent="0.35">
      <c r="A30" s="17">
        <v>30</v>
      </c>
      <c r="B30" s="17">
        <v>11</v>
      </c>
      <c r="C30" s="17" t="s">
        <v>204</v>
      </c>
      <c r="D30" s="15">
        <v>13.2</v>
      </c>
      <c r="E30" s="9" t="s">
        <v>115</v>
      </c>
      <c r="F30" s="17"/>
      <c r="G30" s="22">
        <v>10</v>
      </c>
      <c r="H30" s="22" t="s">
        <v>427</v>
      </c>
      <c r="I30" s="20">
        <v>13.2</v>
      </c>
      <c r="J30" s="22">
        <v>43182</v>
      </c>
      <c r="K30" s="23" t="s">
        <v>280</v>
      </c>
      <c r="L30" s="23" t="s">
        <v>281</v>
      </c>
      <c r="M30" s="22" t="s">
        <v>117</v>
      </c>
      <c r="N30" s="20"/>
      <c r="O30" s="20" t="s">
        <v>452</v>
      </c>
      <c r="P30" s="17">
        <v>-4</v>
      </c>
      <c r="Q30" s="49" t="s">
        <v>452</v>
      </c>
      <c r="R30" s="18" t="s">
        <v>441</v>
      </c>
      <c r="S30" s="18">
        <v>24</v>
      </c>
      <c r="T30" s="50">
        <v>0.8</v>
      </c>
    </row>
    <row r="31" spans="1:20" ht="17" customHeight="1" x14ac:dyDescent="0.35">
      <c r="A31" s="17">
        <v>31</v>
      </c>
      <c r="B31" s="17">
        <v>12</v>
      </c>
      <c r="C31" s="17" t="s">
        <v>205</v>
      </c>
      <c r="D31" s="15">
        <v>13.2</v>
      </c>
      <c r="E31" s="9" t="s">
        <v>118</v>
      </c>
      <c r="F31" s="17"/>
      <c r="G31" s="22">
        <v>11</v>
      </c>
      <c r="H31" s="22" t="s">
        <v>428</v>
      </c>
      <c r="I31" s="20">
        <v>13.2</v>
      </c>
      <c r="J31" s="22">
        <v>43224</v>
      </c>
      <c r="K31" s="23" t="s">
        <v>282</v>
      </c>
      <c r="L31" s="23" t="s">
        <v>283</v>
      </c>
      <c r="M31" s="22" t="s">
        <v>120</v>
      </c>
      <c r="N31" s="23" t="s">
        <v>404</v>
      </c>
      <c r="O31" s="23" t="s">
        <v>453</v>
      </c>
      <c r="P31" s="17">
        <v>-4</v>
      </c>
      <c r="Q31" s="49" t="s">
        <v>453</v>
      </c>
      <c r="R31" s="18" t="s">
        <v>439</v>
      </c>
      <c r="S31" s="18">
        <v>30</v>
      </c>
      <c r="T31" s="50">
        <v>1</v>
      </c>
    </row>
    <row r="32" spans="1:20" ht="17" customHeight="1" x14ac:dyDescent="0.35">
      <c r="A32" s="17">
        <v>32</v>
      </c>
      <c r="B32" s="17">
        <v>13</v>
      </c>
      <c r="C32" s="17" t="s">
        <v>205</v>
      </c>
      <c r="D32" s="15">
        <v>13.2</v>
      </c>
      <c r="E32" s="9" t="s">
        <v>121</v>
      </c>
      <c r="F32" s="17"/>
      <c r="G32" s="22">
        <v>12</v>
      </c>
      <c r="H32" s="22" t="s">
        <v>429</v>
      </c>
      <c r="I32" s="20">
        <v>13.2</v>
      </c>
      <c r="J32" s="22">
        <v>43251</v>
      </c>
      <c r="K32" s="23" t="s">
        <v>284</v>
      </c>
      <c r="L32" s="23" t="s">
        <v>285</v>
      </c>
      <c r="M32" s="22" t="s">
        <v>123</v>
      </c>
      <c r="N32" s="23" t="s">
        <v>123</v>
      </c>
      <c r="O32" s="23" t="s">
        <v>440</v>
      </c>
      <c r="P32" s="17">
        <v>30</v>
      </c>
      <c r="Q32" s="48" t="s">
        <v>440</v>
      </c>
      <c r="R32" s="18" t="s">
        <v>451</v>
      </c>
      <c r="S32" s="18">
        <v>30</v>
      </c>
      <c r="T32" s="50">
        <v>1</v>
      </c>
    </row>
    <row r="33" spans="1:20" ht="17" customHeight="1" x14ac:dyDescent="0.35">
      <c r="A33" s="17">
        <v>33</v>
      </c>
      <c r="B33" s="17">
        <v>14</v>
      </c>
      <c r="C33" s="17" t="s">
        <v>205</v>
      </c>
      <c r="D33" s="15">
        <v>13.2</v>
      </c>
      <c r="E33" s="9" t="s">
        <v>124</v>
      </c>
      <c r="F33" s="17"/>
      <c r="G33" s="22">
        <v>13</v>
      </c>
      <c r="H33" s="22" t="s">
        <v>430</v>
      </c>
      <c r="I33" s="20">
        <v>13.2</v>
      </c>
      <c r="J33" s="22">
        <v>43255</v>
      </c>
      <c r="K33" s="23" t="s">
        <v>286</v>
      </c>
      <c r="L33" s="23" t="s">
        <v>287</v>
      </c>
      <c r="M33" s="22" t="s">
        <v>86</v>
      </c>
      <c r="N33" s="23" t="s">
        <v>86</v>
      </c>
      <c r="O33" s="23" t="s">
        <v>454</v>
      </c>
      <c r="P33" s="17">
        <v>-12</v>
      </c>
      <c r="Q33" s="48" t="s">
        <v>454</v>
      </c>
      <c r="R33" s="18" t="s">
        <v>443</v>
      </c>
      <c r="S33" s="18">
        <v>30</v>
      </c>
      <c r="T33" s="50">
        <v>1</v>
      </c>
    </row>
    <row r="34" spans="1:20" s="32" customFormat="1" ht="17" customHeight="1" x14ac:dyDescent="0.35">
      <c r="A34" s="33">
        <v>34</v>
      </c>
      <c r="B34" s="33"/>
      <c r="C34" s="33"/>
      <c r="D34" s="33"/>
      <c r="E34" s="41"/>
      <c r="F34" s="33"/>
      <c r="G34" s="35"/>
      <c r="H34" s="35" t="s">
        <v>413</v>
      </c>
      <c r="I34" s="36">
        <v>0</v>
      </c>
      <c r="J34" s="35">
        <v>55555</v>
      </c>
      <c r="K34" s="36" t="s">
        <v>412</v>
      </c>
      <c r="L34" s="36" t="s">
        <v>416</v>
      </c>
      <c r="M34" s="35"/>
      <c r="N34" s="36"/>
      <c r="O34" s="36" t="s">
        <v>445</v>
      </c>
      <c r="P34" s="33"/>
      <c r="Q34" s="48" t="s">
        <v>445</v>
      </c>
      <c r="R34" s="18" t="s">
        <v>452</v>
      </c>
      <c r="S34" s="18">
        <v>26</v>
      </c>
      <c r="T34" s="50">
        <v>0.86699999999999999</v>
      </c>
    </row>
    <row r="35" spans="1:20" ht="17" customHeight="1" x14ac:dyDescent="0.35">
      <c r="A35" s="17">
        <v>35</v>
      </c>
      <c r="B35" s="17">
        <v>15</v>
      </c>
      <c r="C35" s="17" t="s">
        <v>205</v>
      </c>
      <c r="D35" s="15">
        <v>13.2</v>
      </c>
      <c r="E35" s="9" t="s">
        <v>126</v>
      </c>
      <c r="F35" s="17"/>
      <c r="G35" s="22">
        <v>14</v>
      </c>
      <c r="H35" s="22" t="s">
        <v>414</v>
      </c>
      <c r="I35" s="20">
        <v>13.2</v>
      </c>
      <c r="J35" s="22">
        <v>43427</v>
      </c>
      <c r="K35" s="23" t="s">
        <v>288</v>
      </c>
      <c r="L35" s="23" t="s">
        <v>289</v>
      </c>
      <c r="M35" s="22" t="s">
        <v>166</v>
      </c>
      <c r="N35" s="23" t="s">
        <v>406</v>
      </c>
      <c r="O35" s="23" t="s">
        <v>455</v>
      </c>
      <c r="P35" s="17">
        <v>-8</v>
      </c>
      <c r="Q35" s="47" t="s">
        <v>455</v>
      </c>
      <c r="R35" s="18" t="s">
        <v>453</v>
      </c>
      <c r="S35" s="18">
        <v>26</v>
      </c>
      <c r="T35" s="50">
        <v>0.86699999999999999</v>
      </c>
    </row>
    <row r="36" spans="1:20" s="16" customFormat="1" ht="17" customHeight="1" x14ac:dyDescent="0.35">
      <c r="A36" s="17">
        <v>36</v>
      </c>
      <c r="B36" s="17"/>
      <c r="C36" s="15" t="s">
        <v>206</v>
      </c>
      <c r="D36" s="15">
        <v>14.1</v>
      </c>
      <c r="E36" s="15"/>
      <c r="F36" s="15"/>
      <c r="G36" s="19" t="s">
        <v>152</v>
      </c>
      <c r="H36" s="22" t="s">
        <v>417</v>
      </c>
      <c r="I36" s="20">
        <v>14.1</v>
      </c>
      <c r="J36" s="19"/>
      <c r="K36" s="20" t="s">
        <v>233</v>
      </c>
      <c r="L36" s="20" t="s">
        <v>233</v>
      </c>
      <c r="M36" s="19"/>
      <c r="N36" s="20"/>
      <c r="O36" s="20"/>
      <c r="P36" s="15"/>
      <c r="Q36" s="46"/>
      <c r="R36" s="18" t="s">
        <v>440</v>
      </c>
      <c r="S36" s="18">
        <v>30</v>
      </c>
      <c r="T36" s="50">
        <v>1</v>
      </c>
    </row>
    <row r="37" spans="1:20" ht="17" customHeight="1" x14ac:dyDescent="0.35">
      <c r="A37" s="17">
        <v>37</v>
      </c>
      <c r="B37" s="17">
        <v>1</v>
      </c>
      <c r="C37" s="17" t="s">
        <v>202</v>
      </c>
      <c r="D37" s="15">
        <v>14.1</v>
      </c>
      <c r="E37" s="9" t="s">
        <v>42</v>
      </c>
      <c r="F37" s="17"/>
      <c r="G37" s="22">
        <v>1</v>
      </c>
      <c r="H37" s="22" t="s">
        <v>418</v>
      </c>
      <c r="I37" s="20">
        <v>14.1</v>
      </c>
      <c r="J37" s="22">
        <v>42973</v>
      </c>
      <c r="K37" s="23" t="s">
        <v>290</v>
      </c>
      <c r="L37" s="23" t="s">
        <v>291</v>
      </c>
      <c r="M37" s="22" t="s">
        <v>44</v>
      </c>
      <c r="N37" s="23" t="s">
        <v>213</v>
      </c>
      <c r="O37" s="23" t="s">
        <v>444</v>
      </c>
      <c r="P37" s="17">
        <v>-26</v>
      </c>
      <c r="Q37" s="48" t="s">
        <v>444</v>
      </c>
      <c r="R37" s="18" t="s">
        <v>454</v>
      </c>
      <c r="S37" s="18">
        <v>18</v>
      </c>
      <c r="T37" s="50">
        <v>0.6</v>
      </c>
    </row>
    <row r="38" spans="1:20" ht="17" customHeight="1" x14ac:dyDescent="0.35">
      <c r="A38" s="17">
        <v>38</v>
      </c>
      <c r="B38" s="17">
        <v>2</v>
      </c>
      <c r="C38" s="17" t="s">
        <v>202</v>
      </c>
      <c r="D38" s="15">
        <v>14.1</v>
      </c>
      <c r="E38" s="9" t="s">
        <v>45</v>
      </c>
      <c r="F38" s="17"/>
      <c r="G38" s="22">
        <v>2</v>
      </c>
      <c r="H38" s="22" t="s">
        <v>419</v>
      </c>
      <c r="I38" s="20">
        <v>14.1</v>
      </c>
      <c r="J38" s="22">
        <v>42983</v>
      </c>
      <c r="K38" s="23" t="s">
        <v>292</v>
      </c>
      <c r="L38" s="23" t="s">
        <v>293</v>
      </c>
      <c r="M38" s="22" t="s">
        <v>47</v>
      </c>
      <c r="N38" s="23" t="s">
        <v>47</v>
      </c>
      <c r="O38" s="23" t="s">
        <v>446</v>
      </c>
      <c r="P38" s="17">
        <v>-1</v>
      </c>
      <c r="Q38" s="49" t="s">
        <v>446</v>
      </c>
      <c r="R38" s="18" t="s">
        <v>445</v>
      </c>
    </row>
    <row r="39" spans="1:20" ht="17" customHeight="1" x14ac:dyDescent="0.35">
      <c r="A39" s="17">
        <v>39</v>
      </c>
      <c r="B39" s="17">
        <v>3</v>
      </c>
      <c r="C39" s="17" t="s">
        <v>202</v>
      </c>
      <c r="D39" s="15">
        <v>14.1</v>
      </c>
      <c r="E39" s="9" t="s">
        <v>48</v>
      </c>
      <c r="F39" s="17"/>
      <c r="G39" s="22">
        <v>3</v>
      </c>
      <c r="H39" s="22" t="s">
        <v>420</v>
      </c>
      <c r="I39" s="20">
        <v>14.1</v>
      </c>
      <c r="J39" s="22">
        <v>42998</v>
      </c>
      <c r="K39" s="23" t="s">
        <v>294</v>
      </c>
      <c r="L39" s="23" t="s">
        <v>295</v>
      </c>
      <c r="M39" s="19" t="s">
        <v>212</v>
      </c>
      <c r="N39" s="23" t="s">
        <v>212</v>
      </c>
      <c r="O39" s="23" t="s">
        <v>447</v>
      </c>
      <c r="P39" s="17">
        <v>-15</v>
      </c>
      <c r="Q39" s="48" t="s">
        <v>447</v>
      </c>
      <c r="R39" s="18" t="s">
        <v>455</v>
      </c>
      <c r="S39" s="18">
        <v>22</v>
      </c>
      <c r="T39" s="50">
        <v>0.73299999999999998</v>
      </c>
    </row>
    <row r="40" spans="1:20" ht="17" customHeight="1" x14ac:dyDescent="0.35">
      <c r="A40" s="17">
        <v>40</v>
      </c>
      <c r="B40" s="17">
        <v>4</v>
      </c>
      <c r="C40" s="17" t="s">
        <v>203</v>
      </c>
      <c r="D40" s="15">
        <v>14.1</v>
      </c>
      <c r="E40" s="9" t="s">
        <v>51</v>
      </c>
      <c r="F40" s="17"/>
      <c r="G40" s="22">
        <v>4</v>
      </c>
      <c r="H40" s="22" t="s">
        <v>421</v>
      </c>
      <c r="I40" s="20">
        <v>14.1</v>
      </c>
      <c r="J40" s="22">
        <v>42999</v>
      </c>
      <c r="K40" s="23" t="s">
        <v>296</v>
      </c>
      <c r="L40" s="23" t="s">
        <v>297</v>
      </c>
      <c r="M40" s="22" t="s">
        <v>53</v>
      </c>
      <c r="N40" s="23" t="s">
        <v>211</v>
      </c>
      <c r="O40" s="23" t="s">
        <v>448</v>
      </c>
      <c r="P40" s="17">
        <v>-8</v>
      </c>
      <c r="Q40" s="48" t="s">
        <v>448</v>
      </c>
      <c r="R40" s="18" t="s">
        <v>460</v>
      </c>
    </row>
    <row r="41" spans="1:20" s="32" customFormat="1" ht="17" customHeight="1" x14ac:dyDescent="0.35">
      <c r="A41" s="33">
        <v>41</v>
      </c>
      <c r="B41" s="33"/>
      <c r="C41" s="33"/>
      <c r="D41" s="33"/>
      <c r="E41" s="41"/>
      <c r="F41" s="33"/>
      <c r="G41" s="35"/>
      <c r="H41" s="35" t="s">
        <v>411</v>
      </c>
      <c r="I41" s="36">
        <v>0</v>
      </c>
      <c r="J41" s="35">
        <v>55555</v>
      </c>
      <c r="K41" s="36" t="s">
        <v>412</v>
      </c>
      <c r="L41" s="36" t="s">
        <v>416</v>
      </c>
      <c r="M41" s="35"/>
      <c r="N41" s="36"/>
      <c r="O41" s="36" t="s">
        <v>449</v>
      </c>
      <c r="P41" s="33"/>
      <c r="Q41" s="48" t="s">
        <v>449</v>
      </c>
      <c r="R41" s="18"/>
      <c r="S41" s="18"/>
      <c r="T41" s="18"/>
    </row>
    <row r="42" spans="1:20" ht="17" customHeight="1" x14ac:dyDescent="0.35">
      <c r="A42" s="17">
        <v>42</v>
      </c>
      <c r="B42" s="17">
        <v>5</v>
      </c>
      <c r="C42" s="17" t="s">
        <v>203</v>
      </c>
      <c r="D42" s="15">
        <v>14.1</v>
      </c>
      <c r="E42" s="9" t="s">
        <v>54</v>
      </c>
      <c r="F42" s="17"/>
      <c r="G42" s="22">
        <v>5</v>
      </c>
      <c r="H42" s="22" t="s">
        <v>422</v>
      </c>
      <c r="I42" s="20">
        <v>14.1</v>
      </c>
      <c r="J42" s="22">
        <v>43023</v>
      </c>
      <c r="K42" s="23" t="s">
        <v>298</v>
      </c>
      <c r="L42" s="23" t="s">
        <v>299</v>
      </c>
      <c r="M42" s="22" t="s">
        <v>56</v>
      </c>
      <c r="N42" s="23" t="s">
        <v>219</v>
      </c>
      <c r="O42" s="23" t="s">
        <v>450</v>
      </c>
      <c r="P42" s="17">
        <v>-3</v>
      </c>
      <c r="Q42" t="s">
        <v>450</v>
      </c>
      <c r="R42" s="18" t="s">
        <v>462</v>
      </c>
    </row>
    <row r="43" spans="1:20" ht="17" customHeight="1" x14ac:dyDescent="0.35">
      <c r="A43" s="17">
        <v>43</v>
      </c>
      <c r="B43" s="17">
        <v>6</v>
      </c>
      <c r="C43" s="17" t="s">
        <v>203</v>
      </c>
      <c r="D43" s="15">
        <v>14.1</v>
      </c>
      <c r="E43" s="9" t="s">
        <v>57</v>
      </c>
      <c r="F43" s="17"/>
      <c r="G43" s="22">
        <v>6</v>
      </c>
      <c r="H43" s="22" t="s">
        <v>423</v>
      </c>
      <c r="I43" s="20">
        <v>14.1</v>
      </c>
      <c r="J43" s="22">
        <v>43032</v>
      </c>
      <c r="K43" s="23" t="s">
        <v>300</v>
      </c>
      <c r="L43" s="23" t="s">
        <v>301</v>
      </c>
      <c r="M43" s="22" t="s">
        <v>59</v>
      </c>
      <c r="N43" s="23" t="s">
        <v>220</v>
      </c>
      <c r="O43" s="23" t="s">
        <v>442</v>
      </c>
      <c r="P43" s="37"/>
      <c r="Q43" s="48" t="s">
        <v>442</v>
      </c>
    </row>
    <row r="44" spans="1:20" ht="17" customHeight="1" x14ac:dyDescent="0.35">
      <c r="A44" s="17">
        <v>44</v>
      </c>
      <c r="B44" s="17">
        <v>7</v>
      </c>
      <c r="C44" s="17" t="s">
        <v>204</v>
      </c>
      <c r="D44" s="15">
        <v>14.1</v>
      </c>
      <c r="E44" s="9" t="s">
        <v>60</v>
      </c>
      <c r="F44" s="17"/>
      <c r="G44" s="22">
        <v>7</v>
      </c>
      <c r="H44" s="22" t="s">
        <v>424</v>
      </c>
      <c r="I44" s="20">
        <v>14.1</v>
      </c>
      <c r="J44" s="22">
        <v>43034</v>
      </c>
      <c r="K44" s="23" t="s">
        <v>302</v>
      </c>
      <c r="L44" s="23" t="s">
        <v>303</v>
      </c>
      <c r="M44" s="22" t="s">
        <v>62</v>
      </c>
      <c r="N44" s="23" t="s">
        <v>210</v>
      </c>
      <c r="O44" s="23" t="s">
        <v>441</v>
      </c>
      <c r="P44" s="17">
        <v>-18</v>
      </c>
      <c r="Q44" s="48" t="s">
        <v>441</v>
      </c>
      <c r="R44" s="18" t="s">
        <v>457</v>
      </c>
      <c r="S44" s="18" t="s">
        <v>458</v>
      </c>
      <c r="T44" s="18" t="s">
        <v>459</v>
      </c>
    </row>
    <row r="45" spans="1:20" ht="17" customHeight="1" x14ac:dyDescent="0.35">
      <c r="A45" s="17">
        <v>45</v>
      </c>
      <c r="B45" s="17">
        <v>8</v>
      </c>
      <c r="C45" s="17" t="s">
        <v>204</v>
      </c>
      <c r="D45" s="15">
        <v>14.1</v>
      </c>
      <c r="E45" s="9" t="s">
        <v>63</v>
      </c>
      <c r="F45" s="17"/>
      <c r="G45" s="22">
        <v>8</v>
      </c>
      <c r="H45" s="22" t="s">
        <v>425</v>
      </c>
      <c r="I45" s="20">
        <v>14.1</v>
      </c>
      <c r="J45" s="22">
        <v>43056</v>
      </c>
      <c r="K45" s="23" t="s">
        <v>304</v>
      </c>
      <c r="L45" s="23" t="s">
        <v>305</v>
      </c>
      <c r="M45" s="22" t="s">
        <v>65</v>
      </c>
      <c r="N45" s="23" t="s">
        <v>218</v>
      </c>
      <c r="O45" s="23" t="s">
        <v>439</v>
      </c>
      <c r="P45" s="17">
        <v>-7</v>
      </c>
      <c r="Q45" s="48" t="s">
        <v>439</v>
      </c>
      <c r="R45" s="18" t="s">
        <v>444</v>
      </c>
      <c r="S45" s="18">
        <v>4</v>
      </c>
      <c r="T45" s="50">
        <v>0.13300000000000001</v>
      </c>
    </row>
    <row r="46" spans="1:20" ht="17" customHeight="1" x14ac:dyDescent="0.35">
      <c r="A46" s="17">
        <v>46</v>
      </c>
      <c r="B46" s="17">
        <v>9</v>
      </c>
      <c r="C46" s="17" t="s">
        <v>204</v>
      </c>
      <c r="D46" s="15">
        <v>14.1</v>
      </c>
      <c r="E46" s="9" t="s">
        <v>66</v>
      </c>
      <c r="F46" s="17"/>
      <c r="G46" s="22">
        <v>9</v>
      </c>
      <c r="H46" s="22" t="s">
        <v>426</v>
      </c>
      <c r="I46" s="20">
        <v>14.1</v>
      </c>
      <c r="J46" s="22">
        <v>44558</v>
      </c>
      <c r="K46" s="23" t="s">
        <v>306</v>
      </c>
      <c r="L46" s="23" t="s">
        <v>307</v>
      </c>
      <c r="M46" s="22" t="s">
        <v>68</v>
      </c>
      <c r="N46" s="23" t="s">
        <v>214</v>
      </c>
      <c r="O46" s="23" t="s">
        <v>451</v>
      </c>
      <c r="P46" s="17">
        <v>-2</v>
      </c>
      <c r="Q46" s="48" t="s">
        <v>451</v>
      </c>
      <c r="R46" s="18" t="s">
        <v>446</v>
      </c>
      <c r="S46" s="18">
        <v>29</v>
      </c>
      <c r="T46" s="50">
        <v>0.96699999999999997</v>
      </c>
    </row>
    <row r="47" spans="1:20" ht="17" customHeight="1" x14ac:dyDescent="0.35">
      <c r="A47" s="17">
        <v>47</v>
      </c>
      <c r="B47" s="17">
        <v>10</v>
      </c>
      <c r="C47" s="17" t="s">
        <v>204</v>
      </c>
      <c r="D47" s="15">
        <v>14.1</v>
      </c>
      <c r="E47" s="9" t="s">
        <v>69</v>
      </c>
      <c r="F47" s="17"/>
      <c r="G47" s="22">
        <v>10</v>
      </c>
      <c r="H47" s="22" t="s">
        <v>427</v>
      </c>
      <c r="I47" s="20">
        <v>14.1</v>
      </c>
      <c r="J47" s="22">
        <v>44563</v>
      </c>
      <c r="K47" s="23" t="s">
        <v>217</v>
      </c>
      <c r="L47" s="23" t="s">
        <v>308</v>
      </c>
      <c r="M47" s="22" t="s">
        <v>71</v>
      </c>
      <c r="N47" s="23" t="s">
        <v>217</v>
      </c>
      <c r="O47" s="23" t="s">
        <v>443</v>
      </c>
      <c r="P47" s="17">
        <v>30</v>
      </c>
      <c r="Q47" s="48" t="s">
        <v>443</v>
      </c>
      <c r="R47" s="18" t="s">
        <v>447</v>
      </c>
      <c r="S47" s="18">
        <v>15</v>
      </c>
      <c r="T47" s="50">
        <v>0.5</v>
      </c>
    </row>
    <row r="48" spans="1:20" ht="17" customHeight="1" x14ac:dyDescent="0.35">
      <c r="A48" s="17">
        <v>48</v>
      </c>
      <c r="B48" s="17">
        <v>11</v>
      </c>
      <c r="C48" s="17" t="s">
        <v>204</v>
      </c>
      <c r="D48" s="15">
        <v>14.1</v>
      </c>
      <c r="E48" s="9" t="s">
        <v>72</v>
      </c>
      <c r="F48" s="17"/>
      <c r="G48" s="22">
        <v>11</v>
      </c>
      <c r="H48" s="22" t="s">
        <v>428</v>
      </c>
      <c r="I48" s="20">
        <v>14.1</v>
      </c>
      <c r="J48" s="22">
        <v>44589</v>
      </c>
      <c r="K48" s="23" t="s">
        <v>309</v>
      </c>
      <c r="L48" s="23" t="s">
        <v>310</v>
      </c>
      <c r="M48" s="22" t="s">
        <v>74</v>
      </c>
      <c r="N48" s="23" t="s">
        <v>215</v>
      </c>
      <c r="O48" s="23" t="s">
        <v>452</v>
      </c>
      <c r="P48" s="17">
        <v>-23</v>
      </c>
      <c r="Q48" s="49" t="s">
        <v>452</v>
      </c>
      <c r="R48" s="18" t="s">
        <v>448</v>
      </c>
      <c r="S48" s="18">
        <v>22</v>
      </c>
      <c r="T48" s="50">
        <v>0.73299999999999998</v>
      </c>
    </row>
    <row r="49" spans="1:20" ht="17" customHeight="1" x14ac:dyDescent="0.35">
      <c r="A49" s="17">
        <v>49</v>
      </c>
      <c r="B49" s="17">
        <v>12</v>
      </c>
      <c r="C49" s="17" t="s">
        <v>205</v>
      </c>
      <c r="D49" s="15">
        <v>14.1</v>
      </c>
      <c r="E49" s="9" t="s">
        <v>75</v>
      </c>
      <c r="F49" s="17"/>
      <c r="G49" s="22">
        <v>12</v>
      </c>
      <c r="H49" s="22" t="s">
        <v>429</v>
      </c>
      <c r="I49" s="20">
        <v>14.1</v>
      </c>
      <c r="J49" s="22">
        <v>45165</v>
      </c>
      <c r="K49" s="23" t="s">
        <v>311</v>
      </c>
      <c r="L49" s="23" t="s">
        <v>312</v>
      </c>
      <c r="M49" s="22" t="s">
        <v>77</v>
      </c>
      <c r="N49" s="23" t="s">
        <v>77</v>
      </c>
      <c r="O49" s="23" t="s">
        <v>453</v>
      </c>
      <c r="P49" s="17">
        <v>-3</v>
      </c>
      <c r="Q49" s="49" t="s">
        <v>453</v>
      </c>
      <c r="R49" s="18" t="s">
        <v>449</v>
      </c>
    </row>
    <row r="50" spans="1:20" ht="17" customHeight="1" x14ac:dyDescent="0.35">
      <c r="A50" s="17">
        <v>50</v>
      </c>
      <c r="B50" s="17">
        <v>13</v>
      </c>
      <c r="C50" s="17" t="s">
        <v>205</v>
      </c>
      <c r="D50" s="15">
        <v>14.1</v>
      </c>
      <c r="E50" s="9" t="s">
        <v>78</v>
      </c>
      <c r="F50" s="17"/>
      <c r="G50" s="22">
        <v>13</v>
      </c>
      <c r="H50" s="22" t="s">
        <v>430</v>
      </c>
      <c r="I50" s="20">
        <v>14.1</v>
      </c>
      <c r="J50" s="22">
        <v>45875</v>
      </c>
      <c r="K50" s="23" t="s">
        <v>313</v>
      </c>
      <c r="L50" s="23" t="s">
        <v>314</v>
      </c>
      <c r="M50" s="22" t="s">
        <v>80</v>
      </c>
      <c r="N50" s="23" t="s">
        <v>80</v>
      </c>
      <c r="O50" s="23" t="s">
        <v>440</v>
      </c>
      <c r="P50" s="17">
        <v>-23</v>
      </c>
      <c r="Q50" s="48" t="s">
        <v>440</v>
      </c>
      <c r="R50" s="18" t="s">
        <v>450</v>
      </c>
      <c r="S50" s="18">
        <v>27</v>
      </c>
      <c r="T50" s="50">
        <v>0.9</v>
      </c>
    </row>
    <row r="51" spans="1:20" s="32" customFormat="1" ht="17" customHeight="1" x14ac:dyDescent="0.35">
      <c r="A51" s="33">
        <v>51</v>
      </c>
      <c r="B51" s="33"/>
      <c r="C51" s="33"/>
      <c r="D51" s="33"/>
      <c r="E51" s="41"/>
      <c r="F51" s="33"/>
      <c r="G51" s="35"/>
      <c r="H51" s="35" t="s">
        <v>413</v>
      </c>
      <c r="I51" s="36">
        <v>0</v>
      </c>
      <c r="J51" s="35">
        <v>55555</v>
      </c>
      <c r="K51" s="36" t="s">
        <v>412</v>
      </c>
      <c r="L51" s="36" t="s">
        <v>416</v>
      </c>
      <c r="M51" s="35"/>
      <c r="N51" s="36"/>
      <c r="O51" s="36" t="s">
        <v>454</v>
      </c>
      <c r="P51" s="33"/>
      <c r="Q51" s="48" t="s">
        <v>454</v>
      </c>
      <c r="R51" s="18" t="s">
        <v>442</v>
      </c>
      <c r="S51" s="18"/>
      <c r="T51" s="18"/>
    </row>
    <row r="52" spans="1:20" ht="17" customHeight="1" x14ac:dyDescent="0.35">
      <c r="A52" s="17">
        <v>52</v>
      </c>
      <c r="B52" s="17">
        <v>14</v>
      </c>
      <c r="C52" s="17" t="s">
        <v>205</v>
      </c>
      <c r="D52" s="15">
        <v>14.1</v>
      </c>
      <c r="E52" s="9" t="s">
        <v>81</v>
      </c>
      <c r="F52" s="17"/>
      <c r="G52" s="22">
        <v>14</v>
      </c>
      <c r="H52" s="17" t="s">
        <v>414</v>
      </c>
      <c r="I52" s="20">
        <v>14.1</v>
      </c>
      <c r="J52" s="22">
        <v>45892</v>
      </c>
      <c r="K52" s="23" t="s">
        <v>315</v>
      </c>
      <c r="L52" s="23" t="s">
        <v>316</v>
      </c>
      <c r="M52" s="22" t="s">
        <v>83</v>
      </c>
      <c r="N52" s="22" t="s">
        <v>83</v>
      </c>
      <c r="O52" s="22" t="s">
        <v>445</v>
      </c>
      <c r="P52" s="17">
        <v>17</v>
      </c>
      <c r="Q52" s="48" t="s">
        <v>445</v>
      </c>
      <c r="R52" s="18" t="s">
        <v>441</v>
      </c>
      <c r="S52" s="18">
        <v>12</v>
      </c>
      <c r="T52" s="50">
        <v>0.4</v>
      </c>
    </row>
    <row r="53" spans="1:20" ht="17" customHeight="1" x14ac:dyDescent="0.35">
      <c r="A53" s="17">
        <v>53</v>
      </c>
      <c r="B53" s="17">
        <v>15</v>
      </c>
      <c r="C53" s="17" t="s">
        <v>205</v>
      </c>
      <c r="D53" s="15">
        <v>14.1</v>
      </c>
      <c r="E53" s="9" t="s">
        <v>84</v>
      </c>
      <c r="F53" s="17"/>
      <c r="G53" s="22">
        <v>15</v>
      </c>
      <c r="H53" s="17" t="s">
        <v>415</v>
      </c>
      <c r="I53" s="20">
        <v>14.1</v>
      </c>
      <c r="J53" s="22">
        <v>46491</v>
      </c>
      <c r="K53" s="23" t="s">
        <v>317</v>
      </c>
      <c r="L53" s="23" t="s">
        <v>318</v>
      </c>
      <c r="M53" s="22" t="s">
        <v>86</v>
      </c>
      <c r="N53" s="23" t="s">
        <v>216</v>
      </c>
      <c r="O53" s="23" t="s">
        <v>455</v>
      </c>
      <c r="P53" s="17">
        <v>-7</v>
      </c>
      <c r="Q53" s="47" t="s">
        <v>455</v>
      </c>
      <c r="R53" s="18" t="s">
        <v>439</v>
      </c>
      <c r="S53" s="18">
        <v>23</v>
      </c>
      <c r="T53" s="50">
        <v>0.76700000000000002</v>
      </c>
    </row>
    <row r="54" spans="1:20" s="16" customFormat="1" ht="17" customHeight="1" x14ac:dyDescent="0.35">
      <c r="A54" s="17">
        <v>54</v>
      </c>
      <c r="B54" s="17"/>
      <c r="C54" s="15" t="s">
        <v>208</v>
      </c>
      <c r="D54" s="15">
        <v>15.3</v>
      </c>
      <c r="E54" s="15"/>
      <c r="F54" s="15"/>
      <c r="G54" s="24" t="s">
        <v>195</v>
      </c>
      <c r="H54" s="15" t="s">
        <v>417</v>
      </c>
      <c r="I54" s="20">
        <v>15.3</v>
      </c>
      <c r="J54" s="19"/>
      <c r="K54" s="20" t="s">
        <v>233</v>
      </c>
      <c r="L54" s="20" t="s">
        <v>233</v>
      </c>
      <c r="M54" s="19"/>
      <c r="N54" s="20"/>
      <c r="O54" s="20"/>
      <c r="P54" s="15"/>
      <c r="Q54" s="46"/>
      <c r="R54" s="18" t="s">
        <v>451</v>
      </c>
      <c r="S54" s="18">
        <v>28</v>
      </c>
      <c r="T54" s="50">
        <v>0.93300000000000005</v>
      </c>
    </row>
    <row r="55" spans="1:20" ht="17" customHeight="1" x14ac:dyDescent="0.35">
      <c r="A55" s="17">
        <v>55</v>
      </c>
      <c r="B55" s="17">
        <v>1</v>
      </c>
      <c r="C55" s="17" t="s">
        <v>202</v>
      </c>
      <c r="D55" s="15">
        <v>15.3</v>
      </c>
      <c r="E55" s="10" t="s">
        <v>183</v>
      </c>
      <c r="F55" s="17"/>
      <c r="G55" s="25">
        <v>1</v>
      </c>
      <c r="H55" s="22" t="s">
        <v>418</v>
      </c>
      <c r="I55" s="20">
        <v>15.3</v>
      </c>
      <c r="J55" s="26">
        <v>43162</v>
      </c>
      <c r="K55" s="23" t="s">
        <v>319</v>
      </c>
      <c r="L55" s="23" t="s">
        <v>320</v>
      </c>
      <c r="M55" s="25" t="s">
        <v>196</v>
      </c>
      <c r="N55" s="23" t="s">
        <v>396</v>
      </c>
      <c r="O55" s="23" t="s">
        <v>444</v>
      </c>
      <c r="P55" s="17">
        <v>-7</v>
      </c>
      <c r="Q55" s="48" t="s">
        <v>444</v>
      </c>
      <c r="R55" s="18" t="s">
        <v>443</v>
      </c>
      <c r="S55" s="18">
        <v>30</v>
      </c>
      <c r="T55" s="50">
        <v>1</v>
      </c>
    </row>
    <row r="56" spans="1:20" ht="17" customHeight="1" x14ac:dyDescent="0.35">
      <c r="A56" s="17">
        <v>56</v>
      </c>
      <c r="B56" s="17">
        <v>2</v>
      </c>
      <c r="C56" s="17" t="s">
        <v>202</v>
      </c>
      <c r="D56" s="15">
        <v>15.3</v>
      </c>
      <c r="E56" s="12" t="s">
        <v>184</v>
      </c>
      <c r="F56" s="17"/>
      <c r="G56" s="25">
        <v>2</v>
      </c>
      <c r="H56" s="22" t="s">
        <v>419</v>
      </c>
      <c r="I56" s="20">
        <v>15.3</v>
      </c>
      <c r="J56" s="25">
        <v>43172</v>
      </c>
      <c r="K56" s="23" t="s">
        <v>321</v>
      </c>
      <c r="L56" s="23" t="s">
        <v>322</v>
      </c>
      <c r="M56" s="25" t="s">
        <v>197</v>
      </c>
      <c r="N56" s="23" t="s">
        <v>389</v>
      </c>
      <c r="O56" s="23" t="s">
        <v>446</v>
      </c>
      <c r="P56" s="17">
        <v>-4</v>
      </c>
      <c r="Q56" s="49" t="s">
        <v>446</v>
      </c>
      <c r="R56" s="18" t="s">
        <v>452</v>
      </c>
      <c r="S56" s="18">
        <v>7</v>
      </c>
      <c r="T56" s="50">
        <v>0.23300000000000001</v>
      </c>
    </row>
    <row r="57" spans="1:20" ht="17" customHeight="1" x14ac:dyDescent="0.35">
      <c r="A57" s="17">
        <v>57</v>
      </c>
      <c r="B57" s="17">
        <v>3</v>
      </c>
      <c r="C57" s="17" t="s">
        <v>202</v>
      </c>
      <c r="D57" s="15">
        <v>15.3</v>
      </c>
      <c r="E57" s="11" t="s">
        <v>185</v>
      </c>
      <c r="F57" s="17"/>
      <c r="G57" s="25">
        <v>3</v>
      </c>
      <c r="H57" s="22" t="s">
        <v>420</v>
      </c>
      <c r="I57" s="20">
        <v>15.3</v>
      </c>
      <c r="J57" s="25">
        <v>43225</v>
      </c>
      <c r="K57" s="23" t="s">
        <v>323</v>
      </c>
      <c r="L57" s="23" t="s">
        <v>324</v>
      </c>
      <c r="M57" s="25" t="s">
        <v>186</v>
      </c>
      <c r="N57" s="23" t="s">
        <v>384</v>
      </c>
      <c r="O57" s="23" t="s">
        <v>447</v>
      </c>
      <c r="P57" s="17">
        <v>-22</v>
      </c>
      <c r="Q57" s="48" t="s">
        <v>447</v>
      </c>
      <c r="R57" s="18" t="s">
        <v>453</v>
      </c>
      <c r="S57" s="18">
        <v>27</v>
      </c>
      <c r="T57" s="50">
        <v>0.9</v>
      </c>
    </row>
    <row r="58" spans="1:20" ht="17" customHeight="1" x14ac:dyDescent="0.35">
      <c r="A58" s="17">
        <v>58</v>
      </c>
      <c r="B58" s="17">
        <v>4</v>
      </c>
      <c r="C58" s="17" t="s">
        <v>203</v>
      </c>
      <c r="D58" s="15">
        <v>15.3</v>
      </c>
      <c r="E58" s="11" t="s">
        <v>187</v>
      </c>
      <c r="F58" s="17"/>
      <c r="G58" s="27">
        <v>4</v>
      </c>
      <c r="H58" s="22" t="s">
        <v>421</v>
      </c>
      <c r="I58" s="20">
        <v>15.3</v>
      </c>
      <c r="J58" s="25">
        <v>43245</v>
      </c>
      <c r="K58" s="23" t="s">
        <v>59</v>
      </c>
      <c r="L58" s="23" t="s">
        <v>325</v>
      </c>
      <c r="M58" s="25" t="s">
        <v>188</v>
      </c>
      <c r="N58" s="23" t="s">
        <v>392</v>
      </c>
      <c r="O58" s="23" t="s">
        <v>448</v>
      </c>
      <c r="P58" s="17">
        <v>-10</v>
      </c>
      <c r="Q58" s="48" t="s">
        <v>448</v>
      </c>
      <c r="R58" s="18" t="s">
        <v>440</v>
      </c>
      <c r="S58" s="18">
        <v>7</v>
      </c>
      <c r="T58" s="50">
        <v>0.23300000000000001</v>
      </c>
    </row>
    <row r="59" spans="1:20" s="32" customFormat="1" ht="17" customHeight="1" x14ac:dyDescent="0.35">
      <c r="A59" s="33">
        <v>59</v>
      </c>
      <c r="B59" s="33"/>
      <c r="C59" s="33"/>
      <c r="D59" s="33"/>
      <c r="E59" s="44"/>
      <c r="F59" s="33"/>
      <c r="G59" s="43"/>
      <c r="H59" s="35" t="s">
        <v>411</v>
      </c>
      <c r="I59" s="36">
        <v>0</v>
      </c>
      <c r="J59" s="35">
        <v>55555</v>
      </c>
      <c r="K59" s="36" t="s">
        <v>412</v>
      </c>
      <c r="L59" s="36" t="s">
        <v>416</v>
      </c>
      <c r="M59" s="45"/>
      <c r="N59" s="36"/>
      <c r="O59" s="36" t="s">
        <v>449</v>
      </c>
      <c r="P59" s="33"/>
      <c r="Q59" s="48" t="s">
        <v>449</v>
      </c>
      <c r="R59" s="18" t="s">
        <v>454</v>
      </c>
      <c r="S59" s="18"/>
      <c r="T59" s="18"/>
    </row>
    <row r="60" spans="1:20" ht="17" customHeight="1" x14ac:dyDescent="0.35">
      <c r="A60" s="17">
        <v>60</v>
      </c>
      <c r="B60" s="17">
        <v>5</v>
      </c>
      <c r="C60" s="17" t="s">
        <v>203</v>
      </c>
      <c r="D60" s="15">
        <v>15.3</v>
      </c>
      <c r="E60" s="11" t="s">
        <v>198</v>
      </c>
      <c r="F60" s="17"/>
      <c r="G60" s="27">
        <v>5</v>
      </c>
      <c r="H60" s="22" t="s">
        <v>422</v>
      </c>
      <c r="I60" s="20">
        <v>15.3</v>
      </c>
      <c r="J60" s="25">
        <v>43249</v>
      </c>
      <c r="K60" s="23" t="s">
        <v>326</v>
      </c>
      <c r="L60" s="23" t="s">
        <v>327</v>
      </c>
      <c r="M60" s="27" t="s">
        <v>199</v>
      </c>
      <c r="N60" s="23" t="s">
        <v>390</v>
      </c>
      <c r="O60" s="23" t="s">
        <v>450</v>
      </c>
      <c r="P60" s="17">
        <v>-3</v>
      </c>
      <c r="Q60" t="s">
        <v>450</v>
      </c>
      <c r="R60" s="18" t="s">
        <v>445</v>
      </c>
      <c r="S60" s="18">
        <v>17</v>
      </c>
      <c r="T60" s="50">
        <v>0.56699999999999995</v>
      </c>
    </row>
    <row r="61" spans="1:20" ht="17" customHeight="1" x14ac:dyDescent="0.35">
      <c r="A61" s="17">
        <v>61</v>
      </c>
      <c r="B61" s="17">
        <v>6</v>
      </c>
      <c r="C61" s="17" t="s">
        <v>203</v>
      </c>
      <c r="D61" s="15">
        <v>15.3</v>
      </c>
      <c r="E61" s="13" t="s">
        <v>189</v>
      </c>
      <c r="F61" s="17"/>
      <c r="G61" s="27">
        <v>6</v>
      </c>
      <c r="H61" s="22" t="s">
        <v>423</v>
      </c>
      <c r="I61" s="20">
        <v>15.3</v>
      </c>
      <c r="J61" s="25">
        <v>43261</v>
      </c>
      <c r="K61" s="23" t="s">
        <v>328</v>
      </c>
      <c r="L61" s="23" t="s">
        <v>329</v>
      </c>
      <c r="M61" s="25" t="s">
        <v>190</v>
      </c>
      <c r="N61" s="23" t="s">
        <v>385</v>
      </c>
      <c r="O61" s="23" t="s">
        <v>442</v>
      </c>
      <c r="P61" s="17">
        <v>-7</v>
      </c>
      <c r="Q61" s="48" t="s">
        <v>442</v>
      </c>
      <c r="R61" s="18" t="s">
        <v>455</v>
      </c>
      <c r="S61" s="18">
        <v>23</v>
      </c>
      <c r="T61" s="50">
        <v>0.76700000000000002</v>
      </c>
    </row>
    <row r="62" spans="1:20" ht="17" customHeight="1" x14ac:dyDescent="0.35">
      <c r="A62" s="17">
        <v>62</v>
      </c>
      <c r="B62" s="17">
        <v>7</v>
      </c>
      <c r="C62" s="17" t="s">
        <v>204</v>
      </c>
      <c r="D62" s="15">
        <v>15.3</v>
      </c>
      <c r="E62" s="11" t="s">
        <v>191</v>
      </c>
      <c r="F62" s="17"/>
      <c r="G62" s="27">
        <v>7</v>
      </c>
      <c r="H62" s="22" t="s">
        <v>424</v>
      </c>
      <c r="I62" s="20">
        <v>15.3</v>
      </c>
      <c r="J62" s="27">
        <v>43262</v>
      </c>
      <c r="K62" s="23" t="s">
        <v>330</v>
      </c>
      <c r="L62" s="23" t="s">
        <v>331</v>
      </c>
      <c r="M62" s="25" t="s">
        <v>192</v>
      </c>
      <c r="N62" s="23" t="s">
        <v>391</v>
      </c>
      <c r="O62" s="23" t="s">
        <v>441</v>
      </c>
      <c r="P62" s="17">
        <v>-4</v>
      </c>
      <c r="Q62" s="48" t="s">
        <v>441</v>
      </c>
      <c r="R62" s="18" t="s">
        <v>460</v>
      </c>
    </row>
    <row r="63" spans="1:20" ht="17" customHeight="1" x14ac:dyDescent="0.35">
      <c r="A63" s="17">
        <v>63</v>
      </c>
      <c r="B63" s="17">
        <v>8</v>
      </c>
      <c r="C63" s="17" t="s">
        <v>204</v>
      </c>
      <c r="D63" s="15">
        <v>15.3</v>
      </c>
      <c r="E63" s="13" t="s">
        <v>193</v>
      </c>
      <c r="F63" s="17"/>
      <c r="G63" s="27">
        <v>8</v>
      </c>
      <c r="H63" s="22" t="s">
        <v>425</v>
      </c>
      <c r="I63" s="20">
        <v>15.3</v>
      </c>
      <c r="J63" s="27">
        <v>43265</v>
      </c>
      <c r="K63" s="23" t="s">
        <v>332</v>
      </c>
      <c r="L63" s="23" t="s">
        <v>333</v>
      </c>
      <c r="M63" s="25" t="s">
        <v>194</v>
      </c>
      <c r="N63" s="23" t="s">
        <v>386</v>
      </c>
      <c r="O63" s="23" t="s">
        <v>439</v>
      </c>
      <c r="P63" s="17">
        <v>-8</v>
      </c>
      <c r="Q63" s="48" t="s">
        <v>439</v>
      </c>
    </row>
    <row r="64" spans="1:20" ht="17" customHeight="1" x14ac:dyDescent="0.35">
      <c r="A64" s="17">
        <v>64</v>
      </c>
      <c r="B64" s="17">
        <v>9</v>
      </c>
      <c r="C64" s="17" t="s">
        <v>204</v>
      </c>
      <c r="D64" s="15">
        <v>15.3</v>
      </c>
      <c r="E64" s="13">
        <v>46953</v>
      </c>
      <c r="F64" s="17"/>
      <c r="G64" s="27">
        <v>9</v>
      </c>
      <c r="H64" s="22" t="s">
        <v>426</v>
      </c>
      <c r="I64" s="20">
        <v>15.3</v>
      </c>
      <c r="J64" s="27">
        <v>46953</v>
      </c>
      <c r="K64" s="23" t="s">
        <v>349</v>
      </c>
      <c r="L64" s="23" t="s">
        <v>350</v>
      </c>
      <c r="M64" s="19" t="s">
        <v>382</v>
      </c>
      <c r="N64" s="23" t="s">
        <v>349</v>
      </c>
      <c r="O64" s="23" t="s">
        <v>451</v>
      </c>
      <c r="P64" s="17">
        <v>-2</v>
      </c>
      <c r="Q64" s="48" t="s">
        <v>451</v>
      </c>
      <c r="R64" s="18" t="s">
        <v>463</v>
      </c>
    </row>
    <row r="65" spans="1:20" ht="17" customHeight="1" x14ac:dyDescent="0.35">
      <c r="A65" s="17">
        <v>65</v>
      </c>
      <c r="B65" s="17">
        <v>10</v>
      </c>
      <c r="C65" s="17" t="s">
        <v>204</v>
      </c>
      <c r="D65" s="15">
        <v>15.3</v>
      </c>
      <c r="E65" s="13">
        <v>46958</v>
      </c>
      <c r="F65" s="17"/>
      <c r="G65" s="27">
        <v>10</v>
      </c>
      <c r="H65" s="22" t="s">
        <v>427</v>
      </c>
      <c r="I65" s="20">
        <v>15.3</v>
      </c>
      <c r="J65" s="27">
        <v>46958</v>
      </c>
      <c r="K65" s="23" t="s">
        <v>351</v>
      </c>
      <c r="L65" s="23" t="s">
        <v>352</v>
      </c>
      <c r="M65" s="19" t="s">
        <v>381</v>
      </c>
      <c r="N65" s="23" t="s">
        <v>388</v>
      </c>
      <c r="O65" s="23" t="s">
        <v>443</v>
      </c>
      <c r="P65" s="17">
        <v>-4</v>
      </c>
      <c r="Q65" s="48" t="s">
        <v>443</v>
      </c>
    </row>
    <row r="66" spans="1:20" ht="17" customHeight="1" x14ac:dyDescent="0.35">
      <c r="A66" s="17">
        <v>66</v>
      </c>
      <c r="B66" s="17">
        <v>11</v>
      </c>
      <c r="C66" s="17" t="s">
        <v>205</v>
      </c>
      <c r="D66" s="15">
        <v>15.3</v>
      </c>
      <c r="E66" s="13">
        <v>47035</v>
      </c>
      <c r="F66" s="17"/>
      <c r="G66" s="27">
        <v>11</v>
      </c>
      <c r="H66" s="22" t="s">
        <v>428</v>
      </c>
      <c r="I66" s="20">
        <v>15.3</v>
      </c>
      <c r="J66" s="27">
        <v>47035</v>
      </c>
      <c r="K66" s="23" t="s">
        <v>353</v>
      </c>
      <c r="L66" s="23" t="s">
        <v>354</v>
      </c>
      <c r="M66" s="19" t="s">
        <v>380</v>
      </c>
      <c r="N66" s="20"/>
      <c r="O66" s="20" t="s">
        <v>452</v>
      </c>
      <c r="P66" s="17">
        <v>-22</v>
      </c>
      <c r="Q66" s="49" t="s">
        <v>452</v>
      </c>
      <c r="R66" s="18" t="s">
        <v>457</v>
      </c>
      <c r="S66" s="18" t="s">
        <v>458</v>
      </c>
      <c r="T66" s="18" t="s">
        <v>459</v>
      </c>
    </row>
    <row r="67" spans="1:20" ht="17" customHeight="1" x14ac:dyDescent="0.35">
      <c r="A67" s="17">
        <v>67</v>
      </c>
      <c r="B67" s="17">
        <v>12</v>
      </c>
      <c r="C67" s="17" t="s">
        <v>205</v>
      </c>
      <c r="D67" s="15">
        <v>15.3</v>
      </c>
      <c r="E67" s="13">
        <v>47064</v>
      </c>
      <c r="F67" s="17"/>
      <c r="G67" s="27">
        <v>12</v>
      </c>
      <c r="H67" s="22" t="s">
        <v>429</v>
      </c>
      <c r="I67" s="20">
        <v>15.3</v>
      </c>
      <c r="J67" s="27">
        <v>47064</v>
      </c>
      <c r="K67" s="23" t="s">
        <v>355</v>
      </c>
      <c r="L67" s="23" t="s">
        <v>356</v>
      </c>
      <c r="M67" s="19" t="s">
        <v>379</v>
      </c>
      <c r="N67" s="23" t="s">
        <v>393</v>
      </c>
      <c r="O67" s="23" t="s">
        <v>453</v>
      </c>
      <c r="P67" s="17">
        <v>-15</v>
      </c>
      <c r="Q67" s="49" t="s">
        <v>453</v>
      </c>
      <c r="R67" s="18" t="s">
        <v>444</v>
      </c>
      <c r="S67" s="18">
        <v>23</v>
      </c>
      <c r="T67" s="50">
        <v>0.76700000000000002</v>
      </c>
    </row>
    <row r="68" spans="1:20" ht="17" customHeight="1" x14ac:dyDescent="0.35">
      <c r="A68" s="17">
        <v>68</v>
      </c>
      <c r="B68" s="17">
        <v>13</v>
      </c>
      <c r="C68" s="17" t="s">
        <v>205</v>
      </c>
      <c r="D68" s="15">
        <v>15.3</v>
      </c>
      <c r="E68" s="14">
        <v>47074</v>
      </c>
      <c r="F68" s="17"/>
      <c r="G68" s="27">
        <v>13</v>
      </c>
      <c r="H68" s="22" t="s">
        <v>430</v>
      </c>
      <c r="I68" s="20">
        <v>15.3</v>
      </c>
      <c r="J68" s="28">
        <v>47074</v>
      </c>
      <c r="K68" s="23" t="s">
        <v>357</v>
      </c>
      <c r="L68" s="23" t="s">
        <v>358</v>
      </c>
      <c r="M68" s="19" t="s">
        <v>378</v>
      </c>
      <c r="N68" s="23" t="s">
        <v>387</v>
      </c>
      <c r="O68" s="23" t="s">
        <v>440</v>
      </c>
      <c r="P68" s="17">
        <v>-12</v>
      </c>
      <c r="Q68" s="48" t="s">
        <v>440</v>
      </c>
      <c r="R68" s="18" t="s">
        <v>446</v>
      </c>
      <c r="S68" s="18">
        <v>26</v>
      </c>
      <c r="T68" s="50">
        <v>0.86699999999999999</v>
      </c>
    </row>
    <row r="69" spans="1:20" s="32" customFormat="1" ht="17" customHeight="1" x14ac:dyDescent="0.35">
      <c r="A69" s="33">
        <v>69</v>
      </c>
      <c r="B69" s="33"/>
      <c r="C69" s="33"/>
      <c r="D69" s="33"/>
      <c r="E69" s="42"/>
      <c r="F69" s="33"/>
      <c r="G69" s="43"/>
      <c r="H69" s="35" t="s">
        <v>413</v>
      </c>
      <c r="I69" s="36">
        <v>0</v>
      </c>
      <c r="J69" s="35">
        <v>55555</v>
      </c>
      <c r="K69" s="36" t="s">
        <v>412</v>
      </c>
      <c r="L69" s="36" t="s">
        <v>416</v>
      </c>
      <c r="M69" s="35"/>
      <c r="N69" s="36"/>
      <c r="O69" s="36" t="s">
        <v>454</v>
      </c>
      <c r="P69" s="33"/>
      <c r="Q69" s="48" t="s">
        <v>454</v>
      </c>
      <c r="R69" s="18" t="s">
        <v>447</v>
      </c>
      <c r="S69" s="18">
        <v>8</v>
      </c>
      <c r="T69" s="50">
        <v>0.26700000000000002</v>
      </c>
    </row>
    <row r="70" spans="1:20" ht="17" customHeight="1" x14ac:dyDescent="0.35">
      <c r="A70" s="17">
        <v>70</v>
      </c>
      <c r="B70" s="17">
        <v>14</v>
      </c>
      <c r="C70" s="17" t="s">
        <v>205</v>
      </c>
      <c r="D70" s="15">
        <v>15.3</v>
      </c>
      <c r="E70" s="14">
        <v>47086</v>
      </c>
      <c r="F70" s="17"/>
      <c r="G70" s="27">
        <v>14</v>
      </c>
      <c r="H70" s="17" t="s">
        <v>414</v>
      </c>
      <c r="I70" s="20">
        <v>15.3</v>
      </c>
      <c r="J70" s="28">
        <v>47086</v>
      </c>
      <c r="K70" s="20" t="s">
        <v>395</v>
      </c>
      <c r="L70" s="20" t="s">
        <v>383</v>
      </c>
      <c r="M70" s="19" t="s">
        <v>377</v>
      </c>
      <c r="N70" s="23" t="s">
        <v>394</v>
      </c>
      <c r="O70" s="23" t="s">
        <v>445</v>
      </c>
      <c r="P70" s="17">
        <v>-26</v>
      </c>
      <c r="Q70" s="48" t="s">
        <v>445</v>
      </c>
      <c r="R70" s="18" t="s">
        <v>448</v>
      </c>
      <c r="S70" s="18">
        <v>20</v>
      </c>
      <c r="T70" s="50">
        <v>0.66700000000000004</v>
      </c>
    </row>
    <row r="71" spans="1:20" s="16" customFormat="1" ht="17" customHeight="1" x14ac:dyDescent="0.35">
      <c r="A71" s="17">
        <v>71</v>
      </c>
      <c r="B71" s="17"/>
      <c r="C71" s="15"/>
      <c r="D71" s="15"/>
      <c r="E71" s="30"/>
      <c r="F71" s="15"/>
      <c r="G71" s="31"/>
      <c r="H71" s="15" t="s">
        <v>417</v>
      </c>
      <c r="I71" s="20">
        <v>16.2</v>
      </c>
      <c r="J71" s="38"/>
      <c r="K71" s="20"/>
      <c r="L71" s="20"/>
      <c r="M71" s="19"/>
      <c r="N71" s="20"/>
      <c r="O71" s="20"/>
      <c r="P71" s="15"/>
      <c r="Q71" s="47"/>
      <c r="R71" s="18" t="s">
        <v>449</v>
      </c>
      <c r="S71" s="18"/>
      <c r="T71" s="18"/>
    </row>
    <row r="72" spans="1:20" s="32" customFormat="1" ht="17" customHeight="1" x14ac:dyDescent="0.35">
      <c r="A72" s="17">
        <v>72</v>
      </c>
      <c r="B72" s="17">
        <v>1</v>
      </c>
      <c r="C72" s="33" t="s">
        <v>209</v>
      </c>
      <c r="D72" s="33">
        <v>16.2</v>
      </c>
      <c r="E72" s="33"/>
      <c r="F72" s="33"/>
      <c r="G72" s="34" t="s">
        <v>200</v>
      </c>
      <c r="H72" s="35" t="s">
        <v>418</v>
      </c>
      <c r="I72" s="36">
        <v>16.2</v>
      </c>
      <c r="J72" s="39">
        <v>46948</v>
      </c>
      <c r="K72" s="36" t="s">
        <v>398</v>
      </c>
      <c r="L72" s="36" t="s">
        <v>399</v>
      </c>
      <c r="M72" s="35" t="s">
        <v>397</v>
      </c>
      <c r="N72" s="36" t="s">
        <v>397</v>
      </c>
      <c r="O72" s="36" t="s">
        <v>444</v>
      </c>
      <c r="P72" s="33">
        <v>-3</v>
      </c>
      <c r="Q72" s="48" t="s">
        <v>444</v>
      </c>
      <c r="R72" s="18" t="s">
        <v>450</v>
      </c>
      <c r="S72" s="18">
        <v>27</v>
      </c>
      <c r="T72" s="50">
        <v>0.9</v>
      </c>
    </row>
    <row r="73" spans="1:20" ht="17" customHeight="1" x14ac:dyDescent="0.35">
      <c r="A73" s="17">
        <v>73</v>
      </c>
      <c r="B73" s="17">
        <v>2</v>
      </c>
      <c r="C73" s="17" t="s">
        <v>202</v>
      </c>
      <c r="D73" s="15">
        <v>16.2</v>
      </c>
      <c r="E73" s="9" t="s">
        <v>172</v>
      </c>
      <c r="F73" s="17"/>
      <c r="G73" s="22">
        <v>1</v>
      </c>
      <c r="H73" s="22" t="s">
        <v>419</v>
      </c>
      <c r="I73" s="20">
        <v>16.2</v>
      </c>
      <c r="J73" s="22">
        <v>43045</v>
      </c>
      <c r="K73" s="23" t="s">
        <v>334</v>
      </c>
      <c r="L73" s="23" t="s">
        <v>335</v>
      </c>
      <c r="M73" s="22" t="s">
        <v>182</v>
      </c>
      <c r="N73" s="23" t="s">
        <v>361</v>
      </c>
      <c r="O73" s="23" t="s">
        <v>446</v>
      </c>
      <c r="P73" s="17">
        <v>30</v>
      </c>
      <c r="Q73" s="49" t="s">
        <v>446</v>
      </c>
      <c r="R73" s="18" t="s">
        <v>442</v>
      </c>
      <c r="S73" s="18">
        <v>23</v>
      </c>
      <c r="T73" s="50">
        <v>0.76700000000000002</v>
      </c>
    </row>
    <row r="74" spans="1:20" ht="17" customHeight="1" x14ac:dyDescent="0.35">
      <c r="A74" s="17">
        <v>74</v>
      </c>
      <c r="B74" s="17">
        <v>3</v>
      </c>
      <c r="C74" s="17" t="s">
        <v>202</v>
      </c>
      <c r="D74" s="15">
        <v>16.2</v>
      </c>
      <c r="E74" s="9" t="s">
        <v>154</v>
      </c>
      <c r="F74" s="17"/>
      <c r="G74" s="22">
        <v>2</v>
      </c>
      <c r="H74" s="22" t="s">
        <v>420</v>
      </c>
      <c r="I74" s="20">
        <v>16.2</v>
      </c>
      <c r="J74" s="22">
        <v>43055</v>
      </c>
      <c r="K74" s="23" t="s">
        <v>336</v>
      </c>
      <c r="L74" s="23" t="s">
        <v>337</v>
      </c>
      <c r="M74" s="22" t="s">
        <v>156</v>
      </c>
      <c r="N74" s="23" t="s">
        <v>156</v>
      </c>
      <c r="O74" s="23" t="s">
        <v>447</v>
      </c>
      <c r="P74" s="17">
        <v>-2</v>
      </c>
      <c r="Q74" s="48" t="s">
        <v>447</v>
      </c>
      <c r="R74" s="18" t="s">
        <v>441</v>
      </c>
      <c r="S74" s="18">
        <v>26</v>
      </c>
      <c r="T74" s="50">
        <v>0.86699999999999999</v>
      </c>
    </row>
    <row r="75" spans="1:20" ht="17" customHeight="1" x14ac:dyDescent="0.35">
      <c r="A75" s="17">
        <v>75</v>
      </c>
      <c r="B75" s="17">
        <v>4</v>
      </c>
      <c r="C75" s="17" t="s">
        <v>202</v>
      </c>
      <c r="D75" s="15">
        <v>16.2</v>
      </c>
      <c r="E75" s="9" t="s">
        <v>173</v>
      </c>
      <c r="F75" s="17"/>
      <c r="G75" s="22">
        <v>3</v>
      </c>
      <c r="H75" s="22" t="s">
        <v>421</v>
      </c>
      <c r="I75" s="20">
        <v>16.2</v>
      </c>
      <c r="J75" s="22">
        <v>43063</v>
      </c>
      <c r="K75" s="23" t="s">
        <v>338</v>
      </c>
      <c r="L75" s="23" t="s">
        <v>339</v>
      </c>
      <c r="M75" s="22" t="s">
        <v>178</v>
      </c>
      <c r="N75" s="23" t="s">
        <v>359</v>
      </c>
      <c r="O75" s="23" t="s">
        <v>448</v>
      </c>
      <c r="P75" s="17">
        <v>-1</v>
      </c>
      <c r="Q75" s="48" t="s">
        <v>448</v>
      </c>
      <c r="R75" s="18" t="s">
        <v>439</v>
      </c>
      <c r="S75" s="18">
        <v>22</v>
      </c>
      <c r="T75" s="50">
        <v>0.73299999999999998</v>
      </c>
    </row>
    <row r="76" spans="1:20" s="32" customFormat="1" ht="17" customHeight="1" x14ac:dyDescent="0.35">
      <c r="A76" s="33">
        <v>76</v>
      </c>
      <c r="B76" s="33"/>
      <c r="C76" s="33"/>
      <c r="D76" s="33"/>
      <c r="E76" s="41"/>
      <c r="F76" s="33"/>
      <c r="G76" s="35"/>
      <c r="H76" s="35" t="s">
        <v>411</v>
      </c>
      <c r="I76" s="36">
        <v>0</v>
      </c>
      <c r="J76" s="35">
        <v>55555</v>
      </c>
      <c r="K76" s="36" t="s">
        <v>412</v>
      </c>
      <c r="L76" s="36" t="s">
        <v>416</v>
      </c>
      <c r="M76" s="35"/>
      <c r="N76" s="36"/>
      <c r="O76" s="36" t="s">
        <v>449</v>
      </c>
      <c r="P76" s="33"/>
      <c r="Q76" s="48" t="s">
        <v>449</v>
      </c>
      <c r="R76" s="18" t="s">
        <v>451</v>
      </c>
      <c r="S76" s="18">
        <v>28</v>
      </c>
      <c r="T76" s="50">
        <v>0.93300000000000005</v>
      </c>
    </row>
    <row r="77" spans="1:20" ht="17" customHeight="1" x14ac:dyDescent="0.35">
      <c r="A77" s="17">
        <v>77</v>
      </c>
      <c r="B77" s="17">
        <v>5</v>
      </c>
      <c r="C77" s="17" t="s">
        <v>203</v>
      </c>
      <c r="D77" s="15">
        <v>16.2</v>
      </c>
      <c r="E77" s="9" t="s">
        <v>174</v>
      </c>
      <c r="F77" s="17"/>
      <c r="G77" s="22">
        <v>4</v>
      </c>
      <c r="H77" s="22" t="s">
        <v>422</v>
      </c>
      <c r="I77" s="20">
        <v>16.2</v>
      </c>
      <c r="J77" s="22">
        <v>43093</v>
      </c>
      <c r="K77" s="23" t="s">
        <v>340</v>
      </c>
      <c r="L77" s="23" t="s">
        <v>341</v>
      </c>
      <c r="M77" s="22" t="s">
        <v>159</v>
      </c>
      <c r="N77" s="23" t="s">
        <v>159</v>
      </c>
      <c r="O77" s="23" t="s">
        <v>450</v>
      </c>
      <c r="P77" s="17">
        <v>-2</v>
      </c>
      <c r="Q77" t="s">
        <v>450</v>
      </c>
      <c r="R77" s="18" t="s">
        <v>443</v>
      </c>
      <c r="S77" s="18">
        <v>26</v>
      </c>
      <c r="T77" s="50">
        <v>0.86699999999999999</v>
      </c>
    </row>
    <row r="78" spans="1:20" ht="17" customHeight="1" x14ac:dyDescent="0.35">
      <c r="A78" s="17">
        <v>78</v>
      </c>
      <c r="B78" s="17">
        <v>6</v>
      </c>
      <c r="C78" s="17" t="s">
        <v>203</v>
      </c>
      <c r="D78" s="15">
        <v>16.2</v>
      </c>
      <c r="E78" s="9" t="s">
        <v>175</v>
      </c>
      <c r="F78" s="17"/>
      <c r="G78" s="22">
        <v>5</v>
      </c>
      <c r="H78" s="22" t="s">
        <v>423</v>
      </c>
      <c r="I78" s="20">
        <v>16.2</v>
      </c>
      <c r="J78" s="22">
        <v>43113</v>
      </c>
      <c r="K78" s="23" t="s">
        <v>342</v>
      </c>
      <c r="L78" s="23" t="s">
        <v>343</v>
      </c>
      <c r="M78" s="22" t="s">
        <v>161</v>
      </c>
      <c r="N78" s="23" t="s">
        <v>363</v>
      </c>
      <c r="O78" s="23" t="s">
        <v>442</v>
      </c>
      <c r="P78" s="17">
        <v>-9</v>
      </c>
      <c r="Q78" s="48" t="s">
        <v>442</v>
      </c>
      <c r="R78" s="18" t="s">
        <v>452</v>
      </c>
      <c r="S78" s="18">
        <v>8</v>
      </c>
      <c r="T78" s="50">
        <v>0.26700000000000002</v>
      </c>
    </row>
    <row r="79" spans="1:20" ht="17" customHeight="1" x14ac:dyDescent="0.35">
      <c r="A79" s="17">
        <v>79</v>
      </c>
      <c r="B79" s="17">
        <v>7</v>
      </c>
      <c r="C79" s="17" t="s">
        <v>203</v>
      </c>
      <c r="D79" s="15">
        <v>16.2</v>
      </c>
      <c r="E79" s="9" t="s">
        <v>176</v>
      </c>
      <c r="F79" s="17"/>
      <c r="G79" s="22">
        <v>6</v>
      </c>
      <c r="H79" s="22" t="s">
        <v>424</v>
      </c>
      <c r="I79" s="20">
        <v>16.2</v>
      </c>
      <c r="J79" s="22">
        <v>43128</v>
      </c>
      <c r="K79" s="23" t="s">
        <v>434</v>
      </c>
      <c r="L79" s="23" t="s">
        <v>435</v>
      </c>
      <c r="M79" s="22" t="s">
        <v>163</v>
      </c>
      <c r="N79" s="23" t="s">
        <v>362</v>
      </c>
      <c r="O79" s="23" t="s">
        <v>441</v>
      </c>
      <c r="P79" s="17">
        <v>-10</v>
      </c>
      <c r="Q79" s="48" t="s">
        <v>441</v>
      </c>
      <c r="R79" s="18" t="s">
        <v>453</v>
      </c>
      <c r="S79" s="18">
        <v>15</v>
      </c>
      <c r="T79" s="50">
        <v>0.5</v>
      </c>
    </row>
    <row r="80" spans="1:20" ht="17" customHeight="1" x14ac:dyDescent="0.35">
      <c r="A80" s="17">
        <v>80</v>
      </c>
      <c r="B80" s="17">
        <v>8</v>
      </c>
      <c r="C80" s="17" t="s">
        <v>204</v>
      </c>
      <c r="D80" s="15">
        <v>16.2</v>
      </c>
      <c r="E80" s="9" t="s">
        <v>164</v>
      </c>
      <c r="F80" s="17"/>
      <c r="G80" s="22">
        <v>7</v>
      </c>
      <c r="H80" s="22" t="s">
        <v>425</v>
      </c>
      <c r="I80" s="20">
        <v>16.2</v>
      </c>
      <c r="J80" s="22">
        <v>43143</v>
      </c>
      <c r="K80" s="23" t="s">
        <v>344</v>
      </c>
      <c r="L80" s="23" t="s">
        <v>345</v>
      </c>
      <c r="M80" s="22" t="s">
        <v>166</v>
      </c>
      <c r="N80" s="20" t="s">
        <v>401</v>
      </c>
      <c r="O80" s="20" t="s">
        <v>439</v>
      </c>
      <c r="P80" s="17">
        <v>-19</v>
      </c>
      <c r="Q80" s="48" t="s">
        <v>439</v>
      </c>
      <c r="R80" s="18" t="s">
        <v>440</v>
      </c>
      <c r="S80" s="18">
        <v>18</v>
      </c>
      <c r="T80" s="50">
        <v>0.6</v>
      </c>
    </row>
    <row r="81" spans="1:20" ht="17" customHeight="1" x14ac:dyDescent="0.35">
      <c r="A81" s="17">
        <v>81</v>
      </c>
      <c r="B81" s="17">
        <v>9</v>
      </c>
      <c r="C81" s="17" t="s">
        <v>204</v>
      </c>
      <c r="D81" s="15">
        <v>16.2</v>
      </c>
      <c r="E81" s="9" t="s">
        <v>177</v>
      </c>
      <c r="F81" s="17"/>
      <c r="G81" s="22">
        <v>8</v>
      </c>
      <c r="H81" s="22" t="s">
        <v>426</v>
      </c>
      <c r="I81" s="20">
        <v>16.2</v>
      </c>
      <c r="J81" s="22">
        <v>43144</v>
      </c>
      <c r="K81" s="23" t="s">
        <v>346</v>
      </c>
      <c r="L81" s="23" t="s">
        <v>347</v>
      </c>
      <c r="M81" s="22" t="s">
        <v>168</v>
      </c>
      <c r="N81" s="20" t="s">
        <v>400</v>
      </c>
      <c r="O81" s="20" t="s">
        <v>451</v>
      </c>
      <c r="P81" s="17">
        <v>-2</v>
      </c>
      <c r="Q81" s="48" t="s">
        <v>451</v>
      </c>
      <c r="R81" s="18" t="s">
        <v>454</v>
      </c>
    </row>
    <row r="82" spans="1:20" ht="17" customHeight="1" x14ac:dyDescent="0.35">
      <c r="A82" s="17">
        <v>82</v>
      </c>
      <c r="B82" s="17">
        <v>10</v>
      </c>
      <c r="C82" s="17" t="s">
        <v>204</v>
      </c>
      <c r="D82" s="15">
        <v>16.2</v>
      </c>
      <c r="E82" s="9" t="s">
        <v>169</v>
      </c>
      <c r="F82" s="17"/>
      <c r="G82" s="22">
        <v>9</v>
      </c>
      <c r="H82" s="22" t="s">
        <v>427</v>
      </c>
      <c r="I82" s="20">
        <v>16.2</v>
      </c>
      <c r="J82" s="22">
        <v>46496</v>
      </c>
      <c r="K82" s="20" t="s">
        <v>231</v>
      </c>
      <c r="L82" s="20" t="s">
        <v>232</v>
      </c>
      <c r="M82" s="19" t="s">
        <v>171</v>
      </c>
      <c r="N82" s="23" t="s">
        <v>360</v>
      </c>
      <c r="O82" s="23" t="s">
        <v>443</v>
      </c>
      <c r="P82" s="17">
        <v>-15</v>
      </c>
      <c r="Q82" s="48" t="s">
        <v>443</v>
      </c>
      <c r="R82" s="18" t="s">
        <v>445</v>
      </c>
      <c r="S82" s="18">
        <v>4</v>
      </c>
      <c r="T82" s="50">
        <v>0.13300000000000001</v>
      </c>
    </row>
    <row r="83" spans="1:20" ht="17" customHeight="1" x14ac:dyDescent="0.35">
      <c r="A83" s="17">
        <v>83</v>
      </c>
      <c r="B83" s="17">
        <v>11</v>
      </c>
      <c r="C83" s="17" t="s">
        <v>204</v>
      </c>
      <c r="D83" s="15">
        <v>16.2</v>
      </c>
      <c r="E83" s="9">
        <v>46923</v>
      </c>
      <c r="F83" s="17"/>
      <c r="G83" s="22">
        <v>10</v>
      </c>
      <c r="H83" s="22" t="s">
        <v>428</v>
      </c>
      <c r="I83" s="20">
        <v>16.2</v>
      </c>
      <c r="J83" s="22">
        <v>46923</v>
      </c>
      <c r="K83" s="20" t="s">
        <v>221</v>
      </c>
      <c r="L83" s="20" t="s">
        <v>222</v>
      </c>
      <c r="M83" s="19" t="s">
        <v>223</v>
      </c>
      <c r="N83" s="23" t="s">
        <v>365</v>
      </c>
      <c r="O83" s="23" t="s">
        <v>452</v>
      </c>
      <c r="P83" s="17">
        <v>-1</v>
      </c>
      <c r="Q83" s="49" t="s">
        <v>452</v>
      </c>
      <c r="R83" s="18" t="s">
        <v>460</v>
      </c>
    </row>
    <row r="84" spans="1:20" ht="17" customHeight="1" x14ac:dyDescent="0.35">
      <c r="A84" s="17">
        <v>84</v>
      </c>
      <c r="B84" s="17">
        <v>12</v>
      </c>
      <c r="C84" s="17" t="s">
        <v>205</v>
      </c>
      <c r="D84" s="15">
        <v>16.2</v>
      </c>
      <c r="E84" s="9">
        <v>46924</v>
      </c>
      <c r="F84" s="17"/>
      <c r="G84" s="22">
        <v>11</v>
      </c>
      <c r="H84" s="22" t="s">
        <v>429</v>
      </c>
      <c r="I84" s="20">
        <v>16.2</v>
      </c>
      <c r="J84" s="22">
        <v>46924</v>
      </c>
      <c r="K84" s="20" t="s">
        <v>230</v>
      </c>
      <c r="L84" s="20" t="s">
        <v>229</v>
      </c>
      <c r="M84" s="19" t="s">
        <v>224</v>
      </c>
      <c r="N84" s="23" t="s">
        <v>364</v>
      </c>
      <c r="O84" s="23" t="s">
        <v>453</v>
      </c>
      <c r="P84" s="33"/>
      <c r="Q84" s="49" t="s">
        <v>453</v>
      </c>
    </row>
    <row r="85" spans="1:20" ht="17" customHeight="1" x14ac:dyDescent="0.35">
      <c r="A85" s="17">
        <v>85</v>
      </c>
      <c r="B85" s="17">
        <v>13</v>
      </c>
      <c r="C85" s="17" t="s">
        <v>205</v>
      </c>
      <c r="D85" s="15">
        <v>16.2</v>
      </c>
      <c r="E85" s="9">
        <v>46930</v>
      </c>
      <c r="F85" s="17"/>
      <c r="G85" s="22">
        <v>12</v>
      </c>
      <c r="H85" s="22" t="s">
        <v>430</v>
      </c>
      <c r="I85" s="20">
        <v>16.2</v>
      </c>
      <c r="J85" s="22">
        <v>46930</v>
      </c>
      <c r="K85" s="20" t="s">
        <v>225</v>
      </c>
      <c r="L85" s="20" t="s">
        <v>373</v>
      </c>
      <c r="M85" s="19" t="s">
        <v>225</v>
      </c>
      <c r="N85" s="23" t="s">
        <v>225</v>
      </c>
      <c r="O85" s="23" t="s">
        <v>440</v>
      </c>
      <c r="P85" s="17">
        <v>-14</v>
      </c>
      <c r="Q85" s="48" t="s">
        <v>440</v>
      </c>
      <c r="R85" s="18" t="s">
        <v>464</v>
      </c>
    </row>
    <row r="86" spans="1:20" s="32" customFormat="1" ht="17" customHeight="1" x14ac:dyDescent="0.35">
      <c r="A86" s="33">
        <v>86</v>
      </c>
      <c r="B86" s="33"/>
      <c r="C86" s="33"/>
      <c r="D86" s="33"/>
      <c r="E86" s="41"/>
      <c r="F86" s="33"/>
      <c r="G86" s="35"/>
      <c r="H86" s="35" t="s">
        <v>413</v>
      </c>
      <c r="I86" s="36">
        <v>0</v>
      </c>
      <c r="J86" s="35">
        <v>55555</v>
      </c>
      <c r="K86" s="36" t="s">
        <v>412</v>
      </c>
      <c r="L86" s="36" t="s">
        <v>416</v>
      </c>
      <c r="M86" s="35"/>
      <c r="N86" s="36"/>
      <c r="O86" s="36" t="s">
        <v>454</v>
      </c>
      <c r="P86" s="33"/>
      <c r="Q86" s="48" t="s">
        <v>454</v>
      </c>
      <c r="R86" s="18"/>
      <c r="S86" s="18"/>
      <c r="T86" s="18"/>
    </row>
    <row r="87" spans="1:20" ht="17" customHeight="1" x14ac:dyDescent="0.35">
      <c r="A87" s="17">
        <v>87</v>
      </c>
      <c r="B87" s="17">
        <v>14</v>
      </c>
      <c r="C87" s="17" t="s">
        <v>205</v>
      </c>
      <c r="D87" s="15">
        <v>16.2</v>
      </c>
      <c r="E87" s="9">
        <v>46934</v>
      </c>
      <c r="F87" s="17"/>
      <c r="G87" s="22">
        <v>13</v>
      </c>
      <c r="H87" s="22" t="s">
        <v>414</v>
      </c>
      <c r="I87" s="20">
        <v>16.2</v>
      </c>
      <c r="J87" s="22">
        <v>46934</v>
      </c>
      <c r="K87" s="20" t="s">
        <v>374</v>
      </c>
      <c r="L87" s="20" t="s">
        <v>228</v>
      </c>
      <c r="M87" s="19" t="s">
        <v>226</v>
      </c>
      <c r="N87" s="23" t="s">
        <v>366</v>
      </c>
      <c r="O87" s="23" t="s">
        <v>445</v>
      </c>
      <c r="P87" s="17">
        <v>-1</v>
      </c>
      <c r="Q87" s="48" t="s">
        <v>445</v>
      </c>
      <c r="R87" s="18" t="s">
        <v>457</v>
      </c>
      <c r="S87" s="18" t="s">
        <v>458</v>
      </c>
      <c r="T87" s="18" t="s">
        <v>459</v>
      </c>
    </row>
    <row r="88" spans="1:20" ht="17" customHeight="1" x14ac:dyDescent="0.35">
      <c r="A88" s="17">
        <v>88</v>
      </c>
      <c r="B88" s="17">
        <v>15</v>
      </c>
      <c r="C88" s="17" t="s">
        <v>205</v>
      </c>
      <c r="D88" s="15">
        <v>16.2</v>
      </c>
      <c r="E88" s="9">
        <v>46939</v>
      </c>
      <c r="F88" s="17"/>
      <c r="G88" s="22">
        <v>14</v>
      </c>
      <c r="H88" s="17" t="s">
        <v>415</v>
      </c>
      <c r="I88" s="20">
        <v>16.2</v>
      </c>
      <c r="J88" s="22">
        <v>46939</v>
      </c>
      <c r="K88" s="29" t="s">
        <v>375</v>
      </c>
      <c r="L88" s="20" t="s">
        <v>376</v>
      </c>
      <c r="M88" s="19" t="s">
        <v>227</v>
      </c>
      <c r="N88" s="23" t="s">
        <v>227</v>
      </c>
      <c r="O88" s="23" t="s">
        <v>455</v>
      </c>
      <c r="P88" s="17">
        <f>-J189+B99</f>
        <v>0</v>
      </c>
      <c r="Q88" s="47" t="s">
        <v>455</v>
      </c>
      <c r="R88" s="18" t="s">
        <v>444</v>
      </c>
      <c r="S88" s="18">
        <v>27</v>
      </c>
      <c r="T88" s="50">
        <v>0.9</v>
      </c>
    </row>
    <row r="89" spans="1:20" ht="17" customHeight="1" x14ac:dyDescent="0.35">
      <c r="A89" s="17">
        <v>89</v>
      </c>
      <c r="B89" s="17">
        <v>16</v>
      </c>
      <c r="C89" s="17">
        <v>71</v>
      </c>
      <c r="D89" s="17"/>
      <c r="E89" s="17"/>
      <c r="F89" s="17"/>
      <c r="G89" s="17"/>
      <c r="H89" s="17"/>
      <c r="I89" s="17"/>
      <c r="J89" s="17">
        <v>47124</v>
      </c>
      <c r="K89" s="17" t="s">
        <v>436</v>
      </c>
      <c r="L89" s="40" t="s">
        <v>437</v>
      </c>
      <c r="M89" s="17" t="s">
        <v>438</v>
      </c>
      <c r="N89" s="15"/>
      <c r="O89" s="15" t="s">
        <v>456</v>
      </c>
      <c r="P89" s="17"/>
      <c r="Q89" s="47" t="s">
        <v>456</v>
      </c>
      <c r="R89" s="18" t="s">
        <v>446</v>
      </c>
      <c r="S89" s="18">
        <v>30</v>
      </c>
      <c r="T89" s="50">
        <v>1</v>
      </c>
    </row>
    <row r="90" spans="1:20" ht="17" customHeight="1" x14ac:dyDescent="0.35">
      <c r="R90" s="18" t="s">
        <v>447</v>
      </c>
      <c r="S90" s="18">
        <v>28</v>
      </c>
      <c r="T90" s="50">
        <v>0.93300000000000005</v>
      </c>
    </row>
    <row r="91" spans="1:20" ht="17" customHeight="1" x14ac:dyDescent="0.35">
      <c r="R91" s="18" t="s">
        <v>448</v>
      </c>
      <c r="S91" s="18">
        <v>29</v>
      </c>
      <c r="T91" s="50">
        <v>0.96699999999999997</v>
      </c>
    </row>
    <row r="92" spans="1:20" ht="17" customHeight="1" x14ac:dyDescent="0.35">
      <c r="R92" s="18" t="s">
        <v>449</v>
      </c>
    </row>
    <row r="93" spans="1:20" ht="17" customHeight="1" x14ac:dyDescent="0.35">
      <c r="R93" s="18" t="s">
        <v>450</v>
      </c>
      <c r="S93" s="18">
        <v>28</v>
      </c>
      <c r="T93" s="50">
        <v>0.93300000000000005</v>
      </c>
    </row>
    <row r="94" spans="1:20" ht="17" customHeight="1" x14ac:dyDescent="0.35">
      <c r="R94" s="18" t="s">
        <v>442</v>
      </c>
      <c r="S94" s="18">
        <v>21</v>
      </c>
      <c r="T94" s="50">
        <v>0.7</v>
      </c>
    </row>
    <row r="95" spans="1:20" ht="17" customHeight="1" x14ac:dyDescent="0.35">
      <c r="R95" s="18" t="s">
        <v>441</v>
      </c>
      <c r="S95" s="18">
        <v>20</v>
      </c>
      <c r="T95" s="50">
        <v>0.66700000000000004</v>
      </c>
    </row>
    <row r="96" spans="1:20" ht="17" customHeight="1" x14ac:dyDescent="0.35">
      <c r="R96" s="18" t="s">
        <v>439</v>
      </c>
      <c r="S96" s="18">
        <v>11</v>
      </c>
      <c r="T96" s="50">
        <v>0.36699999999999999</v>
      </c>
    </row>
    <row r="97" spans="18:20" ht="17" customHeight="1" x14ac:dyDescent="0.35">
      <c r="R97" s="18" t="s">
        <v>451</v>
      </c>
      <c r="S97" s="18">
        <v>28</v>
      </c>
      <c r="T97" s="50">
        <v>0.93300000000000005</v>
      </c>
    </row>
    <row r="98" spans="18:20" ht="17" customHeight="1" x14ac:dyDescent="0.35">
      <c r="R98" s="18" t="s">
        <v>443</v>
      </c>
      <c r="S98" s="18">
        <v>15</v>
      </c>
      <c r="T98" s="50">
        <v>0.5</v>
      </c>
    </row>
    <row r="99" spans="18:20" ht="17" customHeight="1" x14ac:dyDescent="0.35">
      <c r="R99" s="18" t="s">
        <v>452</v>
      </c>
      <c r="S99" s="18">
        <v>29</v>
      </c>
      <c r="T99" s="50">
        <v>0.96699999999999997</v>
      </c>
    </row>
    <row r="100" spans="18:20" ht="17" customHeight="1" x14ac:dyDescent="0.35">
      <c r="R100" s="18" t="s">
        <v>453</v>
      </c>
    </row>
    <row r="101" spans="18:20" ht="17" customHeight="1" x14ac:dyDescent="0.35">
      <c r="R101" s="18" t="s">
        <v>440</v>
      </c>
      <c r="S101" s="18">
        <v>16</v>
      </c>
      <c r="T101" s="50">
        <v>0.53300000000000003</v>
      </c>
    </row>
    <row r="102" spans="18:20" ht="17" customHeight="1" x14ac:dyDescent="0.35">
      <c r="R102" s="18" t="s">
        <v>454</v>
      </c>
    </row>
    <row r="103" spans="18:20" ht="17" customHeight="1" x14ac:dyDescent="0.35">
      <c r="R103" s="18" t="s">
        <v>445</v>
      </c>
      <c r="S103" s="18">
        <v>29</v>
      </c>
      <c r="T103" s="50">
        <v>0.96699999999999997</v>
      </c>
    </row>
    <row r="104" spans="18:20" ht="17" customHeight="1" x14ac:dyDescent="0.35">
      <c r="R104" s="18" t="s">
        <v>455</v>
      </c>
      <c r="S104" s="18">
        <v>0</v>
      </c>
      <c r="T104" s="50">
        <v>0</v>
      </c>
    </row>
    <row r="105" spans="18:20" ht="17" customHeight="1" x14ac:dyDescent="0.35">
      <c r="R105" s="18" t="s">
        <v>456</v>
      </c>
    </row>
    <row r="106" spans="18:20" ht="17" customHeight="1" x14ac:dyDescent="0.35">
      <c r="R106" s="18" t="s">
        <v>460</v>
      </c>
    </row>
    <row r="107" spans="18:20" ht="17" customHeight="1" x14ac:dyDescent="0.35">
      <c r="R107" s="18" t="s">
        <v>460</v>
      </c>
    </row>
    <row r="108" spans="18:20" ht="17" customHeight="1" x14ac:dyDescent="0.35">
      <c r="R108" s="18" t="s">
        <v>460</v>
      </c>
    </row>
    <row r="109" spans="18:20" ht="17" customHeight="1" x14ac:dyDescent="0.35">
      <c r="R109" s="18" t="s">
        <v>460</v>
      </c>
    </row>
    <row r="110" spans="18:20" ht="17" customHeight="1" x14ac:dyDescent="0.35">
      <c r="R110" s="18" t="s">
        <v>460</v>
      </c>
    </row>
    <row r="111" spans="18:20" ht="17" customHeight="1" x14ac:dyDescent="0.35">
      <c r="R111" s="18" t="s">
        <v>460</v>
      </c>
    </row>
    <row r="112" spans="18:20" ht="17" customHeight="1" x14ac:dyDescent="0.35">
      <c r="R112" s="18" t="s">
        <v>460</v>
      </c>
    </row>
    <row r="113" spans="18:18" ht="17" customHeight="1" x14ac:dyDescent="0.35">
      <c r="R113" s="18" t="s">
        <v>460</v>
      </c>
    </row>
    <row r="114" spans="18:18" ht="17" customHeight="1" x14ac:dyDescent="0.35">
      <c r="R114" s="18" t="s">
        <v>460</v>
      </c>
    </row>
    <row r="115" spans="18:18" ht="17" customHeight="1" x14ac:dyDescent="0.35">
      <c r="R115" s="18" t="s">
        <v>460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3924-2540-4C18-A249-6A5E1BBF7D9A}">
  <dimension ref="A1:I76"/>
  <sheetViews>
    <sheetView topLeftCell="A71" workbookViewId="0">
      <selection sqref="A1:E76"/>
    </sheetView>
  </sheetViews>
  <sheetFormatPr defaultColWidth="13.453125" defaultRowHeight="17" customHeight="1" x14ac:dyDescent="0.35"/>
  <cols>
    <col min="1" max="1" width="26.90625" style="1" customWidth="1"/>
    <col min="2" max="2" width="13.08984375" style="1" bestFit="1" customWidth="1"/>
    <col min="3" max="3" width="13.6328125" style="1" customWidth="1"/>
    <col min="4" max="4" width="22.6328125" style="1" customWidth="1"/>
    <col min="5" max="5" width="19.453125" style="1" customWidth="1"/>
    <col min="6" max="16384" width="13.453125" style="1"/>
  </cols>
  <sheetData>
    <row r="1" spans="1:9" ht="17" customHeight="1" x14ac:dyDescent="0.35">
      <c r="A1" s="2" t="s">
        <v>0</v>
      </c>
      <c r="B1" s="2"/>
      <c r="C1" s="2"/>
      <c r="D1" s="2"/>
      <c r="E1" s="2"/>
    </row>
    <row r="2" spans="1:9" ht="17" customHeight="1" x14ac:dyDescent="0.35">
      <c r="A2" s="2">
        <v>1</v>
      </c>
      <c r="B2" s="2">
        <v>42889</v>
      </c>
      <c r="C2" s="2" t="s">
        <v>1</v>
      </c>
      <c r="D2" s="2" t="s">
        <v>2</v>
      </c>
      <c r="E2" s="2" t="s">
        <v>3</v>
      </c>
    </row>
    <row r="3" spans="1:9" ht="17" customHeight="1" x14ac:dyDescent="0.35">
      <c r="A3" s="2">
        <v>2</v>
      </c>
      <c r="B3" s="2">
        <v>42956</v>
      </c>
      <c r="C3" s="2" t="s">
        <v>4</v>
      </c>
      <c r="D3" s="2" t="s">
        <v>5</v>
      </c>
      <c r="E3" s="2" t="s">
        <v>6</v>
      </c>
    </row>
    <row r="4" spans="1:9" ht="17" customHeight="1" x14ac:dyDescent="0.35">
      <c r="A4" s="2">
        <v>3</v>
      </c>
      <c r="B4" s="2">
        <v>42974</v>
      </c>
      <c r="C4" s="2" t="s">
        <v>7</v>
      </c>
      <c r="D4" s="2" t="s">
        <v>8</v>
      </c>
      <c r="E4" s="2" t="s">
        <v>9</v>
      </c>
    </row>
    <row r="5" spans="1:9" ht="17" customHeight="1" x14ac:dyDescent="0.35">
      <c r="A5" s="2">
        <v>4</v>
      </c>
      <c r="B5" s="2">
        <v>42978</v>
      </c>
      <c r="C5" s="2" t="s">
        <v>10</v>
      </c>
      <c r="D5" s="2" t="s">
        <v>11</v>
      </c>
      <c r="E5" s="2"/>
    </row>
    <row r="6" spans="1:9" ht="17" customHeight="1" x14ac:dyDescent="0.35">
      <c r="A6" s="2">
        <v>5</v>
      </c>
      <c r="B6" s="2">
        <v>42979</v>
      </c>
      <c r="C6" s="2" t="s">
        <v>12</v>
      </c>
      <c r="D6" s="2" t="s">
        <v>13</v>
      </c>
      <c r="E6" s="2" t="s">
        <v>14</v>
      </c>
    </row>
    <row r="7" spans="1:9" ht="17" customHeight="1" x14ac:dyDescent="0.35">
      <c r="A7" s="2">
        <v>6</v>
      </c>
      <c r="B7" s="2">
        <v>42995</v>
      </c>
      <c r="C7" s="2" t="s">
        <v>15</v>
      </c>
      <c r="D7" s="2" t="s">
        <v>16</v>
      </c>
      <c r="E7" s="2" t="s">
        <v>17</v>
      </c>
    </row>
    <row r="8" spans="1:9" ht="17" customHeight="1" x14ac:dyDescent="0.35">
      <c r="A8" s="2">
        <v>7</v>
      </c>
      <c r="B8" s="2">
        <v>43015</v>
      </c>
      <c r="C8" s="2" t="s">
        <v>18</v>
      </c>
      <c r="D8" s="2" t="s">
        <v>19</v>
      </c>
      <c r="E8" s="2" t="s">
        <v>20</v>
      </c>
    </row>
    <row r="9" spans="1:9" ht="17" customHeight="1" x14ac:dyDescent="0.35">
      <c r="A9" s="2">
        <v>8</v>
      </c>
      <c r="B9" s="2">
        <v>43017</v>
      </c>
      <c r="C9" s="2" t="s">
        <v>21</v>
      </c>
      <c r="D9" s="2" t="s">
        <v>180</v>
      </c>
      <c r="E9" s="2" t="s">
        <v>22</v>
      </c>
    </row>
    <row r="10" spans="1:9" ht="17" customHeight="1" x14ac:dyDescent="0.35">
      <c r="A10" s="2">
        <v>9</v>
      </c>
      <c r="B10" s="2">
        <v>43150</v>
      </c>
      <c r="C10" s="2" t="s">
        <v>23</v>
      </c>
      <c r="D10" s="2" t="s">
        <v>24</v>
      </c>
      <c r="E10" s="2" t="s">
        <v>25</v>
      </c>
    </row>
    <row r="11" spans="1:9" ht="17" customHeight="1" x14ac:dyDescent="0.35">
      <c r="A11" s="2">
        <v>10</v>
      </c>
      <c r="B11" s="2">
        <v>43163</v>
      </c>
      <c r="C11" s="2" t="s">
        <v>26</v>
      </c>
      <c r="D11" s="2" t="s">
        <v>27</v>
      </c>
      <c r="E11" s="2" t="s">
        <v>28</v>
      </c>
    </row>
    <row r="12" spans="1:9" ht="17" customHeight="1" x14ac:dyDescent="0.35">
      <c r="A12" s="2">
        <v>11</v>
      </c>
      <c r="B12" s="2">
        <v>43173</v>
      </c>
      <c r="C12" s="2" t="s">
        <v>29</v>
      </c>
      <c r="D12" s="2" t="s">
        <v>30</v>
      </c>
      <c r="E12" s="2" t="s">
        <v>31</v>
      </c>
    </row>
    <row r="13" spans="1:9" ht="17" customHeight="1" x14ac:dyDescent="0.35">
      <c r="A13" s="2">
        <v>12</v>
      </c>
      <c r="B13" s="2">
        <v>43217</v>
      </c>
      <c r="C13" s="2" t="s">
        <v>32</v>
      </c>
      <c r="D13" s="2" t="s">
        <v>33</v>
      </c>
      <c r="E13" s="2" t="s">
        <v>34</v>
      </c>
    </row>
    <row r="14" spans="1:9" ht="17" customHeight="1" x14ac:dyDescent="0.35">
      <c r="A14" s="2">
        <v>13</v>
      </c>
      <c r="B14" s="2">
        <v>43220</v>
      </c>
      <c r="C14" s="2" t="s">
        <v>35</v>
      </c>
      <c r="D14" s="2" t="s">
        <v>36</v>
      </c>
      <c r="E14" s="2" t="s">
        <v>37</v>
      </c>
    </row>
    <row r="15" spans="1:9" ht="17" customHeight="1" x14ac:dyDescent="0.35">
      <c r="A15" s="2">
        <v>14</v>
      </c>
      <c r="B15" s="2">
        <v>43226</v>
      </c>
      <c r="C15" s="2" t="s">
        <v>38</v>
      </c>
      <c r="D15" s="2" t="s">
        <v>39</v>
      </c>
      <c r="E15" s="2" t="s">
        <v>40</v>
      </c>
      <c r="I15" s="1" t="s">
        <v>41</v>
      </c>
    </row>
    <row r="16" spans="1:9" ht="17" customHeight="1" x14ac:dyDescent="0.35">
      <c r="A16" s="2" t="s">
        <v>87</v>
      </c>
      <c r="B16" s="2"/>
      <c r="C16" s="2"/>
      <c r="D16" s="2"/>
      <c r="E16" s="2"/>
    </row>
    <row r="17" spans="1:5" ht="17" customHeight="1" x14ac:dyDescent="0.35">
      <c r="A17" s="2">
        <v>1</v>
      </c>
      <c r="B17" s="2">
        <v>42888</v>
      </c>
      <c r="C17" s="2" t="s">
        <v>88</v>
      </c>
      <c r="D17" s="2" t="s">
        <v>89</v>
      </c>
      <c r="E17" s="2" t="s">
        <v>90</v>
      </c>
    </row>
    <row r="18" spans="1:5" ht="17" customHeight="1" x14ac:dyDescent="0.35">
      <c r="A18" s="2">
        <v>2</v>
      </c>
      <c r="B18" s="2">
        <v>42929</v>
      </c>
      <c r="C18" s="2" t="s">
        <v>91</v>
      </c>
      <c r="D18" s="2" t="s">
        <v>92</v>
      </c>
      <c r="E18" s="2" t="s">
        <v>93</v>
      </c>
    </row>
    <row r="19" spans="1:5" ht="17" customHeight="1" x14ac:dyDescent="0.35">
      <c r="A19" s="2">
        <v>3</v>
      </c>
      <c r="B19" s="2">
        <v>42970</v>
      </c>
      <c r="C19" s="2" t="s">
        <v>94</v>
      </c>
      <c r="D19" s="2" t="s">
        <v>95</v>
      </c>
      <c r="E19" s="2" t="s">
        <v>96</v>
      </c>
    </row>
    <row r="20" spans="1:5" ht="17" customHeight="1" x14ac:dyDescent="0.35">
      <c r="A20" s="2">
        <v>4</v>
      </c>
      <c r="B20" s="2">
        <v>42981</v>
      </c>
      <c r="C20" s="2" t="s">
        <v>97</v>
      </c>
      <c r="D20" s="2" t="s">
        <v>98</v>
      </c>
      <c r="E20" s="2" t="s">
        <v>99</v>
      </c>
    </row>
    <row r="21" spans="1:5" ht="17" customHeight="1" x14ac:dyDescent="0.35">
      <c r="A21" s="2">
        <v>5</v>
      </c>
      <c r="B21" s="2">
        <v>42997</v>
      </c>
      <c r="C21" s="2" t="s">
        <v>100</v>
      </c>
      <c r="D21" s="2" t="s">
        <v>101</v>
      </c>
      <c r="E21" s="2" t="s">
        <v>102</v>
      </c>
    </row>
    <row r="22" spans="1:5" ht="17" customHeight="1" x14ac:dyDescent="0.35">
      <c r="A22" s="2">
        <v>6</v>
      </c>
      <c r="B22" s="2">
        <v>43038</v>
      </c>
      <c r="C22" s="2" t="s">
        <v>103</v>
      </c>
      <c r="D22" s="2" t="s">
        <v>104</v>
      </c>
      <c r="E22" s="2" t="s">
        <v>105</v>
      </c>
    </row>
    <row r="23" spans="1:5" ht="17" customHeight="1" x14ac:dyDescent="0.35">
      <c r="A23" s="2">
        <v>7</v>
      </c>
      <c r="B23" s="2">
        <v>43049</v>
      </c>
      <c r="C23" s="2" t="s">
        <v>106</v>
      </c>
      <c r="D23" s="2" t="s">
        <v>107</v>
      </c>
      <c r="E23" s="2" t="s">
        <v>108</v>
      </c>
    </row>
    <row r="24" spans="1:5" ht="17" customHeight="1" x14ac:dyDescent="0.35">
      <c r="A24" s="2">
        <v>8</v>
      </c>
      <c r="B24" s="2">
        <v>43061</v>
      </c>
      <c r="C24" s="2" t="s">
        <v>109</v>
      </c>
      <c r="D24" s="2" t="s">
        <v>110</v>
      </c>
      <c r="E24" s="2" t="s">
        <v>111</v>
      </c>
    </row>
    <row r="25" spans="1:5" ht="17" customHeight="1" x14ac:dyDescent="0.35">
      <c r="A25" s="2">
        <v>9</v>
      </c>
      <c r="B25" s="2">
        <v>43071</v>
      </c>
      <c r="C25" s="2" t="s">
        <v>112</v>
      </c>
      <c r="D25" s="2" t="s">
        <v>113</v>
      </c>
      <c r="E25" s="2" t="s">
        <v>114</v>
      </c>
    </row>
    <row r="26" spans="1:5" ht="17" customHeight="1" x14ac:dyDescent="0.35">
      <c r="A26" s="2">
        <v>10</v>
      </c>
      <c r="B26" s="2">
        <v>43182</v>
      </c>
      <c r="C26" s="2" t="s">
        <v>115</v>
      </c>
      <c r="D26" s="2" t="s">
        <v>116</v>
      </c>
      <c r="E26" s="2" t="s">
        <v>117</v>
      </c>
    </row>
    <row r="27" spans="1:5" ht="17" customHeight="1" x14ac:dyDescent="0.35">
      <c r="A27" s="2">
        <v>11</v>
      </c>
      <c r="B27" s="2">
        <v>43224</v>
      </c>
      <c r="C27" s="2" t="s">
        <v>118</v>
      </c>
      <c r="D27" s="2" t="s">
        <v>119</v>
      </c>
      <c r="E27" s="2" t="s">
        <v>120</v>
      </c>
    </row>
    <row r="28" spans="1:5" ht="17" customHeight="1" x14ac:dyDescent="0.35">
      <c r="A28" s="2">
        <v>12</v>
      </c>
      <c r="B28" s="2">
        <v>43251</v>
      </c>
      <c r="C28" s="2" t="s">
        <v>121</v>
      </c>
      <c r="D28" s="2" t="s">
        <v>122</v>
      </c>
      <c r="E28" s="2" t="s">
        <v>123</v>
      </c>
    </row>
    <row r="29" spans="1:5" ht="17" customHeight="1" x14ac:dyDescent="0.35">
      <c r="A29" s="2">
        <v>13</v>
      </c>
      <c r="B29" s="2">
        <v>43255</v>
      </c>
      <c r="C29" s="2" t="s">
        <v>124</v>
      </c>
      <c r="D29" s="2" t="s">
        <v>125</v>
      </c>
      <c r="E29" s="2" t="s">
        <v>86</v>
      </c>
    </row>
    <row r="30" spans="1:5" ht="17" customHeight="1" x14ac:dyDescent="0.35">
      <c r="A30" s="2">
        <v>14</v>
      </c>
      <c r="B30" s="2">
        <v>43427</v>
      </c>
      <c r="C30" s="2" t="s">
        <v>126</v>
      </c>
      <c r="D30" s="2" t="s">
        <v>179</v>
      </c>
      <c r="E30" s="2" t="s">
        <v>166</v>
      </c>
    </row>
    <row r="31" spans="1:5" ht="17" customHeight="1" x14ac:dyDescent="0.35">
      <c r="A31" s="2" t="s">
        <v>152</v>
      </c>
      <c r="B31" s="2"/>
      <c r="C31" s="2"/>
      <c r="D31" s="2"/>
      <c r="E31" s="2"/>
    </row>
    <row r="32" spans="1:5" ht="17" customHeight="1" x14ac:dyDescent="0.35">
      <c r="A32" s="2">
        <v>1</v>
      </c>
      <c r="B32" s="2">
        <v>42973</v>
      </c>
      <c r="C32" s="2" t="s">
        <v>42</v>
      </c>
      <c r="D32" s="2" t="s">
        <v>43</v>
      </c>
      <c r="E32" s="2" t="s">
        <v>44</v>
      </c>
    </row>
    <row r="33" spans="1:5" ht="17" customHeight="1" x14ac:dyDescent="0.35">
      <c r="A33" s="2">
        <v>2</v>
      </c>
      <c r="B33" s="2">
        <v>42983</v>
      </c>
      <c r="C33" s="2" t="s">
        <v>45</v>
      </c>
      <c r="D33" s="2" t="s">
        <v>46</v>
      </c>
      <c r="E33" s="2" t="s">
        <v>47</v>
      </c>
    </row>
    <row r="34" spans="1:5" ht="17" customHeight="1" x14ac:dyDescent="0.35">
      <c r="A34" s="2">
        <v>3</v>
      </c>
      <c r="B34" s="2">
        <v>42998</v>
      </c>
      <c r="C34" s="2" t="s">
        <v>48</v>
      </c>
      <c r="D34" s="2" t="s">
        <v>49</v>
      </c>
      <c r="E34" s="2" t="s">
        <v>50</v>
      </c>
    </row>
    <row r="35" spans="1:5" ht="17" customHeight="1" x14ac:dyDescent="0.35">
      <c r="A35" s="2">
        <v>4</v>
      </c>
      <c r="B35" s="2">
        <v>42999</v>
      </c>
      <c r="C35" s="2" t="s">
        <v>51</v>
      </c>
      <c r="D35" s="2" t="s">
        <v>52</v>
      </c>
      <c r="E35" s="2" t="s">
        <v>53</v>
      </c>
    </row>
    <row r="36" spans="1:5" ht="17" customHeight="1" x14ac:dyDescent="0.35">
      <c r="A36" s="2">
        <v>5</v>
      </c>
      <c r="B36" s="2">
        <v>43023</v>
      </c>
      <c r="C36" s="2" t="s">
        <v>54</v>
      </c>
      <c r="D36" s="2" t="s">
        <v>55</v>
      </c>
      <c r="E36" s="2" t="s">
        <v>56</v>
      </c>
    </row>
    <row r="37" spans="1:5" ht="17" customHeight="1" x14ac:dyDescent="0.35">
      <c r="A37" s="2">
        <v>6</v>
      </c>
      <c r="B37" s="2">
        <v>43032</v>
      </c>
      <c r="C37" s="2" t="s">
        <v>57</v>
      </c>
      <c r="D37" s="2" t="s">
        <v>58</v>
      </c>
      <c r="E37" s="2" t="s">
        <v>59</v>
      </c>
    </row>
    <row r="38" spans="1:5" ht="17" customHeight="1" x14ac:dyDescent="0.35">
      <c r="A38" s="2">
        <v>7</v>
      </c>
      <c r="B38" s="2">
        <v>43034</v>
      </c>
      <c r="C38" s="2" t="s">
        <v>60</v>
      </c>
      <c r="D38" s="2" t="s">
        <v>61</v>
      </c>
      <c r="E38" s="2" t="s">
        <v>62</v>
      </c>
    </row>
    <row r="39" spans="1:5" ht="17" customHeight="1" x14ac:dyDescent="0.35">
      <c r="A39" s="2">
        <v>8</v>
      </c>
      <c r="B39" s="2">
        <v>43056</v>
      </c>
      <c r="C39" s="2" t="s">
        <v>63</v>
      </c>
      <c r="D39" s="2" t="s">
        <v>64</v>
      </c>
      <c r="E39" s="2" t="s">
        <v>65</v>
      </c>
    </row>
    <row r="40" spans="1:5" ht="17" customHeight="1" x14ac:dyDescent="0.35">
      <c r="A40" s="2">
        <v>9</v>
      </c>
      <c r="B40" s="2">
        <v>44558</v>
      </c>
      <c r="C40" s="2" t="s">
        <v>66</v>
      </c>
      <c r="D40" s="2" t="s">
        <v>67</v>
      </c>
      <c r="E40" s="2" t="s">
        <v>68</v>
      </c>
    </row>
    <row r="41" spans="1:5" ht="17" customHeight="1" x14ac:dyDescent="0.35">
      <c r="A41" s="2">
        <v>10</v>
      </c>
      <c r="B41" s="2">
        <v>44563</v>
      </c>
      <c r="C41" s="2" t="s">
        <v>69</v>
      </c>
      <c r="D41" s="2" t="s">
        <v>70</v>
      </c>
      <c r="E41" s="2" t="s">
        <v>71</v>
      </c>
    </row>
    <row r="42" spans="1:5" ht="17" customHeight="1" x14ac:dyDescent="0.35">
      <c r="A42" s="2">
        <v>11</v>
      </c>
      <c r="B42" s="2">
        <v>44589</v>
      </c>
      <c r="C42" s="2" t="s">
        <v>72</v>
      </c>
      <c r="D42" s="2" t="s">
        <v>73</v>
      </c>
      <c r="E42" s="2" t="s">
        <v>74</v>
      </c>
    </row>
    <row r="43" spans="1:5" ht="17" customHeight="1" x14ac:dyDescent="0.35">
      <c r="A43" s="2">
        <v>12</v>
      </c>
      <c r="B43" s="2">
        <v>45165</v>
      </c>
      <c r="C43" s="2" t="s">
        <v>75</v>
      </c>
      <c r="D43" s="2" t="s">
        <v>76</v>
      </c>
      <c r="E43" s="2" t="s">
        <v>77</v>
      </c>
    </row>
    <row r="44" spans="1:5" ht="17" customHeight="1" x14ac:dyDescent="0.35">
      <c r="A44" s="2">
        <v>13</v>
      </c>
      <c r="B44" s="2">
        <v>45875</v>
      </c>
      <c r="C44" s="2" t="s">
        <v>78</v>
      </c>
      <c r="D44" s="2" t="s">
        <v>79</v>
      </c>
      <c r="E44" s="2" t="s">
        <v>80</v>
      </c>
    </row>
    <row r="45" spans="1:5" ht="17" customHeight="1" x14ac:dyDescent="0.35">
      <c r="A45" s="2">
        <v>14</v>
      </c>
      <c r="B45" s="2">
        <v>45892</v>
      </c>
      <c r="C45" s="2" t="s">
        <v>81</v>
      </c>
      <c r="D45" s="2" t="s">
        <v>82</v>
      </c>
      <c r="E45" s="2" t="s">
        <v>83</v>
      </c>
    </row>
    <row r="46" spans="1:5" ht="17" customHeight="1" x14ac:dyDescent="0.35">
      <c r="A46" s="2">
        <v>15</v>
      </c>
      <c r="B46" s="2">
        <v>46491</v>
      </c>
      <c r="C46" s="2" t="s">
        <v>84</v>
      </c>
      <c r="D46" s="2" t="s">
        <v>85</v>
      </c>
      <c r="E46" s="2" t="s">
        <v>86</v>
      </c>
    </row>
    <row r="47" spans="1:5" ht="17" customHeight="1" x14ac:dyDescent="0.35">
      <c r="A47" s="3" t="s">
        <v>127</v>
      </c>
      <c r="B47" s="2"/>
      <c r="C47" s="2"/>
      <c r="D47" s="2"/>
      <c r="E47" s="2"/>
    </row>
    <row r="48" spans="1:5" ht="17" customHeight="1" x14ac:dyDescent="0.35">
      <c r="A48" s="4">
        <v>1</v>
      </c>
      <c r="B48" s="5">
        <v>43162</v>
      </c>
      <c r="C48" s="6" t="s">
        <v>128</v>
      </c>
      <c r="D48" s="6" t="s">
        <v>129</v>
      </c>
      <c r="E48" s="6" t="s">
        <v>130</v>
      </c>
    </row>
    <row r="49" spans="1:5" ht="17" customHeight="1" x14ac:dyDescent="0.35">
      <c r="A49" s="4">
        <v>2</v>
      </c>
      <c r="B49" s="4">
        <v>43172</v>
      </c>
      <c r="C49" s="6" t="s">
        <v>131</v>
      </c>
      <c r="D49" s="6" t="s">
        <v>132</v>
      </c>
      <c r="E49" s="6" t="s">
        <v>133</v>
      </c>
    </row>
    <row r="50" spans="1:5" ht="17" customHeight="1" x14ac:dyDescent="0.35">
      <c r="A50" s="4">
        <v>3</v>
      </c>
      <c r="B50" s="4">
        <v>43225</v>
      </c>
      <c r="C50" s="6" t="s">
        <v>134</v>
      </c>
      <c r="D50" s="6" t="s">
        <v>135</v>
      </c>
      <c r="E50" s="6" t="s">
        <v>136</v>
      </c>
    </row>
    <row r="51" spans="1:5" ht="17" customHeight="1" x14ac:dyDescent="0.35">
      <c r="A51" s="7">
        <v>4</v>
      </c>
      <c r="B51" s="4">
        <v>43245</v>
      </c>
      <c r="C51" s="6" t="s">
        <v>137</v>
      </c>
      <c r="D51" s="6" t="s">
        <v>138</v>
      </c>
      <c r="E51" s="6" t="s">
        <v>139</v>
      </c>
    </row>
    <row r="52" spans="1:5" ht="17" customHeight="1" x14ac:dyDescent="0.35">
      <c r="A52" s="7">
        <v>5</v>
      </c>
      <c r="B52" s="4">
        <v>43249</v>
      </c>
      <c r="C52" s="6" t="s">
        <v>140</v>
      </c>
      <c r="D52" s="6" t="s">
        <v>141</v>
      </c>
      <c r="E52" s="6" t="s">
        <v>142</v>
      </c>
    </row>
    <row r="53" spans="1:5" ht="17" customHeight="1" x14ac:dyDescent="0.35">
      <c r="A53" s="7">
        <v>6</v>
      </c>
      <c r="B53" s="4">
        <v>43261</v>
      </c>
      <c r="C53" s="6" t="s">
        <v>143</v>
      </c>
      <c r="D53" s="6" t="s">
        <v>144</v>
      </c>
      <c r="E53" s="6" t="s">
        <v>145</v>
      </c>
    </row>
    <row r="54" spans="1:5" ht="17" customHeight="1" x14ac:dyDescent="0.35">
      <c r="A54" s="7">
        <v>7</v>
      </c>
      <c r="B54" s="7">
        <v>43262</v>
      </c>
      <c r="C54" s="6" t="s">
        <v>146</v>
      </c>
      <c r="D54" s="6" t="s">
        <v>147</v>
      </c>
      <c r="E54" s="6" t="s">
        <v>148</v>
      </c>
    </row>
    <row r="55" spans="1:5" ht="17" customHeight="1" x14ac:dyDescent="0.35">
      <c r="A55" s="7">
        <v>8</v>
      </c>
      <c r="B55" s="7">
        <v>43265</v>
      </c>
      <c r="C55" s="6" t="s">
        <v>149</v>
      </c>
      <c r="D55" s="6" t="s">
        <v>150</v>
      </c>
      <c r="E55" s="6" t="s">
        <v>151</v>
      </c>
    </row>
    <row r="56" spans="1:5" ht="17" customHeight="1" x14ac:dyDescent="0.35">
      <c r="A56" s="7">
        <v>9</v>
      </c>
      <c r="B56" s="7">
        <v>46953</v>
      </c>
      <c r="C56" s="2"/>
      <c r="D56" s="2"/>
      <c r="E56" s="2"/>
    </row>
    <row r="57" spans="1:5" ht="17" customHeight="1" x14ac:dyDescent="0.35">
      <c r="A57" s="8">
        <v>10</v>
      </c>
      <c r="B57" s="7">
        <v>46958</v>
      </c>
      <c r="C57" s="2"/>
      <c r="D57" s="2"/>
      <c r="E57" s="2"/>
    </row>
    <row r="58" spans="1:5" ht="17" customHeight="1" x14ac:dyDescent="0.35">
      <c r="A58" s="7">
        <v>11</v>
      </c>
      <c r="B58" s="7">
        <v>47035</v>
      </c>
      <c r="C58" s="2"/>
      <c r="D58" s="2"/>
      <c r="E58" s="2"/>
    </row>
    <row r="59" spans="1:5" ht="17" customHeight="1" x14ac:dyDescent="0.35">
      <c r="A59" s="8">
        <v>12</v>
      </c>
      <c r="B59" s="7">
        <v>47064</v>
      </c>
      <c r="C59" s="2"/>
      <c r="D59" s="2"/>
      <c r="E59" s="2"/>
    </row>
    <row r="60" spans="1:5" ht="17" customHeight="1" x14ac:dyDescent="0.35">
      <c r="A60" s="8">
        <v>13</v>
      </c>
      <c r="B60" s="8">
        <v>47074</v>
      </c>
      <c r="C60" s="2"/>
      <c r="D60" s="2"/>
      <c r="E60" s="2"/>
    </row>
    <row r="61" spans="1:5" ht="17" customHeight="1" x14ac:dyDescent="0.35">
      <c r="A61" s="8">
        <v>14</v>
      </c>
      <c r="B61" s="8">
        <v>47086</v>
      </c>
      <c r="C61" s="2"/>
      <c r="D61" s="2"/>
      <c r="E61" s="2"/>
    </row>
    <row r="62" spans="1:5" ht="17" customHeight="1" x14ac:dyDescent="0.35">
      <c r="A62" s="3" t="s">
        <v>181</v>
      </c>
      <c r="B62" s="2"/>
      <c r="C62" s="2"/>
      <c r="D62" s="2"/>
      <c r="E62" s="2"/>
    </row>
    <row r="63" spans="1:5" ht="17" customHeight="1" x14ac:dyDescent="0.35">
      <c r="A63" s="2">
        <v>1</v>
      </c>
      <c r="B63" s="2">
        <v>43045</v>
      </c>
      <c r="C63" s="2" t="s">
        <v>172</v>
      </c>
      <c r="D63" s="2" t="s">
        <v>153</v>
      </c>
      <c r="E63" s="2" t="s">
        <v>182</v>
      </c>
    </row>
    <row r="64" spans="1:5" ht="17" customHeight="1" x14ac:dyDescent="0.35">
      <c r="A64" s="2">
        <v>2</v>
      </c>
      <c r="B64" s="2">
        <v>43055</v>
      </c>
      <c r="C64" s="2" t="s">
        <v>154</v>
      </c>
      <c r="D64" s="2" t="s">
        <v>155</v>
      </c>
      <c r="E64" s="2" t="s">
        <v>156</v>
      </c>
    </row>
    <row r="65" spans="1:5" ht="17" customHeight="1" x14ac:dyDescent="0.35">
      <c r="A65" s="2">
        <v>3</v>
      </c>
      <c r="B65" s="2">
        <v>43063</v>
      </c>
      <c r="C65" s="2" t="s">
        <v>173</v>
      </c>
      <c r="D65" s="2" t="s">
        <v>157</v>
      </c>
      <c r="E65" s="2" t="s">
        <v>178</v>
      </c>
    </row>
    <row r="66" spans="1:5" ht="17" customHeight="1" x14ac:dyDescent="0.35">
      <c r="A66" s="2">
        <v>4</v>
      </c>
      <c r="B66" s="2">
        <v>43093</v>
      </c>
      <c r="C66" s="2" t="s">
        <v>174</v>
      </c>
      <c r="D66" s="2" t="s">
        <v>158</v>
      </c>
      <c r="E66" s="2" t="s">
        <v>159</v>
      </c>
    </row>
    <row r="67" spans="1:5" ht="17" customHeight="1" x14ac:dyDescent="0.35">
      <c r="A67" s="2">
        <v>5</v>
      </c>
      <c r="B67" s="2">
        <v>43133</v>
      </c>
      <c r="C67" s="2" t="s">
        <v>175</v>
      </c>
      <c r="D67" s="2" t="s">
        <v>160</v>
      </c>
      <c r="E67" s="2" t="s">
        <v>161</v>
      </c>
    </row>
    <row r="68" spans="1:5" ht="17" customHeight="1" x14ac:dyDescent="0.35">
      <c r="A68" s="2">
        <v>6</v>
      </c>
      <c r="B68" s="2">
        <v>43128</v>
      </c>
      <c r="C68" s="2" t="s">
        <v>176</v>
      </c>
      <c r="D68" s="2" t="s">
        <v>162</v>
      </c>
      <c r="E68" s="2" t="s">
        <v>163</v>
      </c>
    </row>
    <row r="69" spans="1:5" ht="17" customHeight="1" x14ac:dyDescent="0.35">
      <c r="A69" s="2">
        <v>7</v>
      </c>
      <c r="B69" s="2">
        <v>43143</v>
      </c>
      <c r="C69" s="2" t="s">
        <v>164</v>
      </c>
      <c r="D69" s="2" t="s">
        <v>165</v>
      </c>
      <c r="E69" s="2" t="s">
        <v>166</v>
      </c>
    </row>
    <row r="70" spans="1:5" ht="17" customHeight="1" x14ac:dyDescent="0.35">
      <c r="A70" s="2">
        <v>8</v>
      </c>
      <c r="B70" s="2">
        <v>43144</v>
      </c>
      <c r="C70" s="2" t="s">
        <v>177</v>
      </c>
      <c r="D70" s="2" t="s">
        <v>167</v>
      </c>
      <c r="E70" s="2" t="s">
        <v>168</v>
      </c>
    </row>
    <row r="71" spans="1:5" ht="17" customHeight="1" x14ac:dyDescent="0.35">
      <c r="A71" s="2">
        <v>9</v>
      </c>
      <c r="B71" s="2">
        <v>46496</v>
      </c>
      <c r="C71" s="2" t="s">
        <v>169</v>
      </c>
      <c r="D71" s="2" t="s">
        <v>170</v>
      </c>
      <c r="E71" s="2" t="s">
        <v>171</v>
      </c>
    </row>
    <row r="72" spans="1:5" ht="17" customHeight="1" x14ac:dyDescent="0.35">
      <c r="A72" s="2">
        <v>10</v>
      </c>
      <c r="B72" s="2">
        <v>46923</v>
      </c>
      <c r="C72" s="2"/>
      <c r="D72" s="2"/>
      <c r="E72" s="2"/>
    </row>
    <row r="73" spans="1:5" ht="17" customHeight="1" x14ac:dyDescent="0.35">
      <c r="A73" s="2">
        <v>11</v>
      </c>
      <c r="B73" s="2">
        <v>46924</v>
      </c>
      <c r="C73" s="2"/>
      <c r="D73" s="2"/>
      <c r="E73" s="2"/>
    </row>
    <row r="74" spans="1:5" ht="17" customHeight="1" x14ac:dyDescent="0.35">
      <c r="A74" s="2">
        <v>12</v>
      </c>
      <c r="B74" s="2">
        <v>46930</v>
      </c>
      <c r="C74" s="2"/>
      <c r="D74" s="2"/>
      <c r="E74" s="2"/>
    </row>
    <row r="75" spans="1:5" ht="17" customHeight="1" x14ac:dyDescent="0.35">
      <c r="A75" s="2">
        <v>13</v>
      </c>
      <c r="B75" s="2">
        <v>46934</v>
      </c>
      <c r="C75" s="2"/>
      <c r="D75" s="2"/>
      <c r="E75" s="2"/>
    </row>
    <row r="76" spans="1:5" ht="17" customHeight="1" x14ac:dyDescent="0.35">
      <c r="A76" s="2">
        <v>14</v>
      </c>
      <c r="B76" s="2">
        <v>46939</v>
      </c>
      <c r="C76" s="2"/>
      <c r="D76" s="2"/>
      <c r="E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</vt:lpstr>
      <vt:lpstr>Grades</vt:lpstr>
      <vt:lpstr>Grade Sort</vt:lpstr>
      <vt:lpstr>At Risk</vt:lpstr>
      <vt:lpstr>Final Roll Sheet</vt:lpstr>
      <vt:lpstr>Original 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2026-05-11T08:00:14Z</dcterms:created>
  <dcterms:modified xsi:type="dcterms:W3CDTF">2026-06-26T03:06:44Z</dcterms:modified>
</cp:coreProperties>
</file>