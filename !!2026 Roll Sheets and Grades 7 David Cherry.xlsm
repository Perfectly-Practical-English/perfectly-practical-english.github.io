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fectly-practical-english.github.io\perfectly-practical-english.github.io\"/>
    </mc:Choice>
  </mc:AlternateContent>
  <xr:revisionPtr revIDLastSave="0" documentId="13_ncr:1_{E9AA8E4C-FD04-4DBA-B0E6-AE9D2999CA7A}" xr6:coauthVersionLast="47" xr6:coauthVersionMax="47" xr10:uidLastSave="{00000000-0000-0000-0000-000000000000}"/>
  <bookViews>
    <workbookView xWindow="0" yWindow="10" windowWidth="18340" windowHeight="10070" xr2:uid="{FDD99F55-0F01-4DEA-8581-43C2B56677F9}"/>
  </bookViews>
  <sheets>
    <sheet name="Lookup" sheetId="5" r:id="rId1"/>
    <sheet name="Grades" sheetId="3" r:id="rId2"/>
    <sheet name="Green" sheetId="8" r:id="rId3"/>
    <sheet name="Sheet2" sheetId="7" r:id="rId4"/>
    <sheet name="Sheet1" sheetId="6" r:id="rId5"/>
    <sheet name="Final Roll Sheet" sheetId="2" state="hidden" r:id="rId6"/>
    <sheet name="Original Paste" sheetId="1" state="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5" l="1"/>
  <c r="U20" i="5"/>
  <c r="W20" i="5"/>
  <c r="T20" i="5"/>
  <c r="S20" i="5"/>
  <c r="R20" i="5"/>
  <c r="Q20" i="5"/>
  <c r="J20" i="5"/>
  <c r="I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W39" i="5"/>
  <c r="M39" i="5" s="1"/>
  <c r="X2" i="5"/>
  <c r="N39" i="5" s="1"/>
  <c r="AV45" i="3"/>
  <c r="BK45" i="3"/>
  <c r="BK3" i="3"/>
  <c r="BK4" i="3"/>
  <c r="BK5" i="3"/>
  <c r="BK6" i="3"/>
  <c r="BK7" i="3"/>
  <c r="BK8" i="3"/>
  <c r="BK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6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AV6" i="3"/>
  <c r="AV16" i="3"/>
  <c r="AV18" i="3"/>
  <c r="AV2" i="3"/>
  <c r="AV3" i="3"/>
  <c r="AV4" i="3"/>
  <c r="AV5" i="3"/>
  <c r="AV7" i="3"/>
  <c r="AV8" i="3"/>
  <c r="AV9" i="3"/>
  <c r="AV10" i="3"/>
  <c r="AV11" i="3"/>
  <c r="AV12" i="3"/>
  <c r="AV13" i="3"/>
  <c r="AV14" i="3"/>
  <c r="AV15" i="3"/>
  <c r="AV17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BK2" i="3"/>
  <c r="AV87" i="3"/>
  <c r="AV88" i="3"/>
  <c r="AV89" i="3"/>
  <c r="AV90" i="3"/>
  <c r="AV91" i="3"/>
  <c r="AV92" i="3"/>
  <c r="Z91" i="3"/>
  <c r="P88" i="2"/>
</calcChain>
</file>

<file path=xl/sharedStrings.xml><?xml version="1.0" encoding="utf-8"?>
<sst xmlns="http://schemas.openxmlformats.org/spreadsheetml/2006/main" count="2895" uniqueCount="638">
  <si>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</si>
  <si>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</si>
  <si>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</si>
  <si>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</si>
  <si>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</si>
  <si>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</si>
  <si>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</si>
  <si>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</si>
  <si>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</si>
  <si>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</si>
  <si>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</si>
  <si>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</si>
  <si>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</si>
  <si>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</si>
  <si>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</si>
  <si>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</si>
  <si>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</si>
  <si>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</si>
  <si>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</si>
  <si>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</si>
  <si>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</si>
  <si>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</si>
  <si>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</si>
  <si>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</si>
  <si>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</si>
  <si>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</si>
  <si>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</si>
  <si>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</si>
  <si>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</si>
  <si>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</si>
  <si>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</si>
  <si>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</si>
  <si>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</si>
  <si>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</si>
  <si>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</si>
  <si>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</si>
  <si>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</si>
  <si>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</si>
  <si>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</si>
  <si>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</si>
  <si>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</si>
  <si>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</si>
  <si>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</si>
  <si>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</si>
  <si>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</si>
  <si>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</si>
  <si>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</si>
  <si>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</si>
  <si>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</si>
  <si>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</si>
  <si>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</si>
  <si>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</si>
  <si>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</si>
  <si>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</si>
  <si>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</si>
  <si>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</si>
  <si>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</si>
  <si>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</si>
  <si>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</si>
  <si>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</si>
  <si>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</si>
  <si>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</si>
  <si>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</si>
  <si>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</si>
  <si>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</si>
  <si>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</si>
  <si>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</si>
  <si>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</si>
  <si>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</si>
  <si>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</si>
  <si>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</si>
  <si>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</si>
  <si>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</si>
  <si>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</si>
  <si>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</si>
  <si>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</si>
  <si>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</si>
  <si>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</si>
  <si>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</si>
  <si>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</si>
  <si>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</si>
  <si>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</si>
  <si>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</si>
  <si>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</si>
  <si>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</si>
  <si>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</si>
  <si>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</si>
  <si>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</si>
  <si>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</si>
  <si>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</si>
  <si>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</si>
  <si>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</si>
  <si>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</si>
  <si>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</si>
  <si>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</si>
  <si>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</si>
  <si>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</si>
  <si>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</si>
  <si>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</si>
  <si>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</si>
  <si>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</si>
  <si>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</si>
  <si>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</si>
  <si>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</si>
  <si>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</si>
  <si>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</si>
  <si>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</si>
  <si>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</si>
  <si>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</si>
  <si>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</si>
  <si>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</si>
  <si>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</si>
  <si>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</si>
  <si>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</si>
  <si>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</si>
  <si>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</si>
  <si>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</si>
  <si>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</si>
  <si>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</si>
  <si>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</si>
  <si>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</si>
  <si>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</si>
  <si>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</si>
  <si>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</si>
  <si>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</si>
  <si>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</si>
  <si>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</si>
  <si>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</si>
  <si>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</si>
  <si>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</si>
  <si>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</si>
  <si>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</si>
  <si>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</si>
  <si>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</si>
  <si>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</si>
  <si>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</si>
  <si>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</si>
  <si>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</si>
  <si>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</si>
  <si>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</si>
  <si>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</si>
  <si>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</si>
  <si>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</si>
  <si>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</si>
  <si>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</si>
  <si>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</si>
  <si>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</si>
  <si>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</si>
  <si>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</si>
  <si>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</si>
  <si>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</si>
  <si>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</si>
  <si>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</si>
  <si>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</si>
  <si>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</si>
  <si>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</si>
  <si>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</si>
  <si>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</si>
  <si>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</si>
  <si>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</si>
  <si>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</si>
  <si>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</si>
  <si>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</si>
  <si>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</si>
  <si>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</si>
  <si>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</si>
  <si>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</si>
  <si>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</si>
  <si>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</si>
  <si>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</si>
  <si>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</si>
  <si>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</si>
  <si>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</si>
  <si>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</si>
  <si>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</si>
  <si>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</si>
  <si>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</si>
  <si>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</si>
  <si>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</si>
  <si>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</si>
  <si>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</si>
  <si>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</si>
  <si>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</si>
  <si>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</si>
  <si>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</si>
  <si>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</si>
  <si>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</si>
  <si>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</si>
  <si>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</si>
  <si>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</si>
  <si>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</si>
  <si>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</si>
  <si>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</si>
  <si>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</si>
  <si>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</si>
  <si>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</si>
  <si>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</si>
  <si>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</si>
  <si>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</si>
  <si>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</si>
  <si>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</si>
  <si>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</si>
  <si>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</si>
  <si>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</si>
  <si>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</si>
  <si>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</si>
  <si>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</si>
  <si>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</si>
  <si>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</si>
  <si>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</si>
  <si>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</si>
  <si>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</si>
  <si>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</si>
  <si>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</si>
  <si>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</si>
  <si>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</si>
  <si>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</si>
  <si>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</si>
  <si>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</si>
  <si>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</si>
  <si>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</si>
  <si>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</si>
  <si>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</si>
  <si>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</si>
  <si>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</si>
  <si>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</si>
  <si>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</si>
  <si>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</si>
  <si>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</si>
  <si>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</si>
  <si>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</si>
  <si>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</si>
  <si>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</si>
  <si>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</si>
  <si>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</si>
  <si>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</si>
  <si>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</si>
  <si>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</si>
  <si>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</si>
  <si>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</si>
  <si>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</si>
  <si>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</si>
  <si>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</si>
  <si>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</si>
  <si>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</si>
  <si>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</si>
  <si>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</si>
  <si>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</si>
  <si>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</si>
  <si>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</si>
  <si>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</si>
  <si>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</si>
  <si>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</si>
  <si>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</si>
  <si>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</si>
  <si>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</si>
  <si>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</si>
  <si>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</si>
  <si>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</si>
  <si>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</si>
  <si>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</si>
  <si>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</si>
  <si>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</si>
  <si>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</si>
  <si>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</si>
  <si>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</si>
  <si>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</si>
  <si>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</si>
  <si>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</si>
  <si>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</si>
  <si>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</si>
  <si>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</si>
  <si>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</si>
  <si>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</si>
  <si>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</si>
  <si>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</si>
  <si>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</si>
  <si>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</si>
  <si>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</si>
  <si>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</si>
  <si>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</si>
  <si>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</si>
  <si>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</si>
  <si>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</si>
  <si>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</si>
  <si>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</si>
  <si>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</si>
  <si>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</si>
  <si>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</si>
  <si>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</si>
  <si>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</si>
  <si>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</si>
  <si>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</si>
  <si>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</si>
  <si>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</si>
  <si>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</si>
  <si>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</si>
  <si>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</si>
  <si>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</si>
  <si>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</si>
  <si>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</si>
  <si>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</si>
  <si>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</si>
  <si>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</si>
  <si>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</si>
  <si>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</si>
  <si>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</si>
  <si>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</si>
  <si>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</si>
  <si>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</si>
  <si>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</si>
  <si>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</si>
  <si>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</si>
  <si>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</si>
  <si>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</si>
  <si>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</si>
  <si>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</si>
  <si>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</si>
  <si>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</si>
  <si>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</si>
  <si>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</si>
  <si>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</si>
  <si>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</si>
  <si>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</si>
  <si>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</si>
  <si>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</si>
  <si>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</si>
  <si>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</si>
  <si>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</si>
  <si>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</si>
  <si>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</si>
  <si>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</si>
  <si>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</si>
  <si>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</si>
  <si>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</si>
  <si>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</si>
  <si>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</si>
  <si>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</si>
  <si>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</si>
  <si>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</si>
  <si>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</si>
  <si>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</si>
  <si>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</si>
  <si>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</si>
  <si>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</si>
  <si>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</si>
  <si>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</si>
  <si>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</si>
  <si>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</si>
  <si>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</si>
  <si>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</si>
  <si>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</si>
  <si>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</si>
  <si>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</si>
  <si>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</si>
  <si>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</si>
  <si>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</si>
  <si>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</si>
  <si>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</si>
  <si>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</si>
  <si>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</si>
  <si>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</si>
  <si>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</si>
  <si>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</si>
  <si>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</si>
  <si>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</si>
  <si>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</si>
  <si>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</si>
  <si>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</si>
  <si>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</si>
  <si>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</si>
  <si>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</si>
  <si>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</si>
  <si>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</si>
  <si>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</si>
  <si>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</si>
  <si>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</si>
  <si>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</si>
  <si>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</si>
  <si>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</si>
  <si>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</si>
  <si>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</si>
  <si>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</si>
  <si>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</si>
  <si>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</si>
  <si>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</si>
  <si>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</si>
  <si>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</si>
  <si>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</si>
  <si>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</si>
  <si>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</si>
  <si>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</si>
  <si>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</si>
  <si>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</si>
  <si>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</si>
  <si>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</si>
  <si>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</si>
  <si>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</si>
  <si>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</si>
  <si>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</si>
  <si>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</si>
  <si>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</si>
  <si>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</si>
  <si>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</si>
  <si>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</si>
  <si>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</si>
  <si>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</si>
  <si>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</si>
  <si>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</si>
  <si>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</si>
  <si>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</si>
  <si>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</si>
  <si>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</si>
  <si>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</si>
  <si>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</si>
  <si>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</si>
  <si>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</si>
  <si>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</si>
  <si>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</si>
  <si>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</si>
  <si>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</si>
  <si>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</si>
  <si>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</si>
  <si>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</si>
  <si>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</si>
  <si>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</si>
  <si>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</si>
  <si>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</si>
  <si>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</si>
  <si>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</si>
  <si>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</si>
  <si>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</si>
  <si>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</si>
  <si>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</si>
  <si>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</si>
  <si>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</si>
  <si>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</si>
  <si>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</si>
  <si>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</si>
  <si>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</si>
  <si>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</si>
  <si>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</si>
  <si>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</si>
  <si>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</si>
  <si>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</si>
  <si>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</si>
  <si>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</si>
  <si>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</si>
  <si>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</si>
  <si>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</si>
  <si>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</si>
  <si>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</si>
  <si>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</si>
  <si>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</si>
  <si>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</si>
  <si>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</si>
  <si>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</si>
  <si>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</si>
  <si>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</si>
  <si>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</si>
  <si>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</si>
  <si>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</si>
  <si>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</si>
  <si>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</si>
  <si>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</si>
  <si>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Raw Score</t>
  </si>
  <si>
    <t>Progress Test 1 Score</t>
  </si>
  <si>
    <t>Progress Test 1 Percent</t>
  </si>
  <si>
    <t>M11</t>
  </si>
  <si>
    <t>M13</t>
  </si>
  <si>
    <t>M14</t>
  </si>
  <si>
    <t>M15</t>
  </si>
  <si>
    <t>M16</t>
  </si>
  <si>
    <t>Seat 18.</t>
  </si>
  <si>
    <t xml:space="preserve">  </t>
  </si>
  <si>
    <t>Progress Test 2</t>
  </si>
  <si>
    <t>Progress Test 2 Spelling Score</t>
  </si>
  <si>
    <t>Progress Test 2 Grammar Score</t>
  </si>
  <si>
    <t>Progress Test 2 Percent</t>
  </si>
  <si>
    <t>Progress Test 2 Total Score</t>
  </si>
  <si>
    <t>PT 1</t>
  </si>
  <si>
    <t>PT2</t>
  </si>
  <si>
    <t>PT3</t>
  </si>
  <si>
    <t>PT4</t>
  </si>
  <si>
    <t>PT5</t>
  </si>
  <si>
    <t>PT6</t>
  </si>
  <si>
    <t>PT7</t>
  </si>
  <si>
    <t>PT8</t>
  </si>
  <si>
    <t>Previous</t>
  </si>
  <si>
    <t>Current</t>
  </si>
  <si>
    <t>Code</t>
  </si>
  <si>
    <t>Code    Previous        Current Comment</t>
  </si>
  <si>
    <t>Brown Bear      93.30%  66.67%  Your score is lower this time. Study more for the next test.</t>
  </si>
  <si>
    <t>Cheetah 70.00%  63.33%  You can do better. Study more often.</t>
  </si>
  <si>
    <t>Cougar  86.70%  76.67%  Good work. Study a little more to improve.</t>
  </si>
  <si>
    <t>Eagle   100.00% 100.00% You do excellent work. Keep doing your best.</t>
  </si>
  <si>
    <t xml:space="preserve">Grizzly                 </t>
  </si>
  <si>
    <t>Hawk    76.70%  53.33%  Your score is lower this time. Please study more.</t>
  </si>
  <si>
    <t>Jaguar  100.00% 96.67%  Excellent work. Keep up the great effort.</t>
  </si>
  <si>
    <t>Leopard 93.30%  93.33%  Very good work. Keep improving.</t>
  </si>
  <si>
    <t>Lion            66.67%  This is your first score. Keep studying and do your best.</t>
  </si>
  <si>
    <t>Orca    66.70%  63.33%  You can do better. Study more often.</t>
  </si>
  <si>
    <t>Polar Bear      100.00% 100.00% You do excellent work. Keep doing your best.</t>
  </si>
  <si>
    <t>Puma    96.70%  100.00% Excellent improvement. Keep up the great work.</t>
  </si>
  <si>
    <t>Shark   100.00% 73.33%  Your score is lower this time. Study more for the next test.</t>
  </si>
  <si>
    <t>Tiger   96.70%  93.33%  Very good work. Keep improving.</t>
  </si>
  <si>
    <t xml:space="preserve">Wolf                    </t>
  </si>
  <si>
    <t>Wolverine       100.00% 76.67%  Your score is lower this time. Study more for the next test.</t>
  </si>
  <si>
    <t>Brown Bear      86.70%  66.67%  Your score is lower this time. Study more for the next test.</t>
  </si>
  <si>
    <t>Cheetah 86.70%  60.00%  Your score is lower this time. Please study more.</t>
  </si>
  <si>
    <t>Cougar  90.00%  86.67%  Very good work. Keep improving.</t>
  </si>
  <si>
    <t>Eagle   100.00% 93.33%  Excellent work. Keep up the great effort.</t>
  </si>
  <si>
    <t>Grizzly 83.30%  76.67%  Good work. Study a little more to improve.</t>
  </si>
  <si>
    <t xml:space="preserve">Hawk                    </t>
  </si>
  <si>
    <t>Jaguar  100.00% 73.33%  Your score is lower this time. Study more for the next test.</t>
  </si>
  <si>
    <t>Leopard 80.00%  86.67%  Good improvement. Keep going.</t>
  </si>
  <si>
    <t>Lion    100.00% 96.67%  Excellent work. Keep up the great effort.</t>
  </si>
  <si>
    <t>Orca    100.00% 96.67%  Excellent work. Keep up the great effort.</t>
  </si>
  <si>
    <t>Puma    86.70%  63.33%  Your score is lower this time. Please study more.</t>
  </si>
  <si>
    <t>Shark   86.70%  66.67%  Your score is lower this time. Please study more.</t>
  </si>
  <si>
    <t>Tiger   100.00% 96.67%  Excellent work. Keep up the great effort.</t>
  </si>
  <si>
    <t>Wolf    60.00%  50.00%  You need to study more. Ask for help when you need it.</t>
  </si>
  <si>
    <t xml:space="preserve">Wolverine                       </t>
  </si>
  <si>
    <t>Alligator       73.30%  53.33%  Your score is lower this time. Please study more.</t>
  </si>
  <si>
    <t>Brown Bear      13.30%  23.33%  Your score is better. Keep studying every day.</t>
  </si>
  <si>
    <t>Cheetah 96.70%  86.67%  Very good work. Keep improving.</t>
  </si>
  <si>
    <t>Cougar  50.00%  60.00%  Your score is better. Keep studying.</t>
  </si>
  <si>
    <t>Eagle   73.30%  66.67%  You can do better. Study more often.</t>
  </si>
  <si>
    <t>Hawk    90.00%  73.33%  Your score is lower this time. Study more for the next test.</t>
  </si>
  <si>
    <t>Jaguar          76.67%  This is your first score. Keep studying and do your best.</t>
  </si>
  <si>
    <t>Leopard 40.00%  43.33%  Keep trying. Small steps will help you improve.</t>
  </si>
  <si>
    <t>Lion    76.70%  56.67%  Your score is lower this time. Please study more.</t>
  </si>
  <si>
    <t>Orca    93.30%  96.67%  Excellent work. Keep up the great effort.</t>
  </si>
  <si>
    <t>Puma    23.30%  63.33%  Excellent improvement. Keep working hard.</t>
  </si>
  <si>
    <t>Shark   90.00%  83.33%  Good work. Study a little more to improve.</t>
  </si>
  <si>
    <t>Tiger   23.30%  23.33%  You need to study much harder. Please ask for help.</t>
  </si>
  <si>
    <t>Wolverine       56.70%  100.00% Excellent improvement. Be proud of yourself.</t>
  </si>
  <si>
    <t>Alligator       76.70%  46.67%  Your score is lower this time. Please study more.</t>
  </si>
  <si>
    <t>Brown Bear      76.70%  33.33%  You need to study much harder. Let's work together.</t>
  </si>
  <si>
    <t>Cheetah 86.70%  93.33%  Good improvement. Keep going.</t>
  </si>
  <si>
    <t>Cougar  26.70%  13.33%  You need to study much harder. Please ask for help.</t>
  </si>
  <si>
    <t>Eagle   66.70%  60.00%  You can do better. Study more often.</t>
  </si>
  <si>
    <t>Hawk    90.00%  100.00% Excellent improvement. Keep up the great work.</t>
  </si>
  <si>
    <t xml:space="preserve">Jaguar  76.70%          </t>
  </si>
  <si>
    <t>Leopard 86.70%  83.33%  Good work. Study a little more to improve.</t>
  </si>
  <si>
    <t>Lion    73.30%  90.00%  Excellent improvement. Keep working hard.</t>
  </si>
  <si>
    <t>Orca    93.30%  100.00% Excellent improvement. Keep up the great work.</t>
  </si>
  <si>
    <t>Polar Bear      86.70%  93.33%  Good improvement. Keep going.</t>
  </si>
  <si>
    <t>Puma    26.70%  16.67%  You need to study much harder. Let's work together.</t>
  </si>
  <si>
    <t xml:space="preserve">Shark   50.00%          </t>
  </si>
  <si>
    <t>Tiger   60.00%  60.00%  Keep trying. You can improve with more study.</t>
  </si>
  <si>
    <t>Wolverine       13.30%  16.67%  Your score is better. Keep studying every day.</t>
  </si>
  <si>
    <t xml:space="preserve">Brown Bear      90.00%          </t>
  </si>
  <si>
    <t>Brown Bear      90.00%  90.00%  Very good work. Keep improving.</t>
  </si>
  <si>
    <t>Cheetah 100.00%         Please complete all your work.</t>
  </si>
  <si>
    <t>Cougar  93.30%          Please complete all your work.</t>
  </si>
  <si>
    <t>Eagle   96.70%          Please complete all your work.</t>
  </si>
  <si>
    <t>Hawk    93.30%          Please complete all your work.</t>
  </si>
  <si>
    <t>Jaguar  70.00%          Please complete all your work.</t>
  </si>
  <si>
    <t>Leopard 66.70%          Please complete all your work.</t>
  </si>
  <si>
    <t>Lion    36.70%          Please complete all your work.</t>
  </si>
  <si>
    <t>Orca    93.30%          Please complete all your work.</t>
  </si>
  <si>
    <t>Polar Bear      50.00%          Please complete all your work.</t>
  </si>
  <si>
    <t>Puma    96.70%          Please complete all your work.</t>
  </si>
  <si>
    <t xml:space="preserve">Shark                   </t>
  </si>
  <si>
    <t>Tiger   53.30%          Please complete all your work.</t>
  </si>
  <si>
    <t>Wolverine       96.70%          Please complete all your work.</t>
  </si>
  <si>
    <t>Alligator       0.00%           Please complete all your work.</t>
  </si>
  <si>
    <t xml:space="preserve">Crocodile                       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</si>
  <si>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</si>
  <si>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</si>
  <si>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</si>
  <si>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</si>
  <si>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</si>
  <si>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</si>
  <si>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</si>
  <si>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</si>
  <si>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</si>
  <si>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</si>
  <si>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</si>
  <si>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</si>
  <si>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</si>
  <si>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</si>
  <si>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</si>
  <si>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</si>
  <si>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</si>
  <si>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</si>
  <si>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</si>
  <si>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</si>
  <si>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</si>
  <si>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```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</si>
  <si>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</si>
  <si>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</si>
  <si>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</si>
  <si>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</si>
  <si>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</si>
  <si>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</si>
  <si>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</si>
  <si>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</si>
  <si>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</si>
  <si>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</si>
  <si>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</si>
  <si>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</si>
  <si>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</si>
  <si>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</si>
  <si>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</si>
  <si>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</si>
  <si>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Completed</t>
  </si>
  <si>
    <t>Spot Mark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</si>
  <si>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</si>
  <si>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</si>
  <si>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</si>
  <si>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</si>
  <si>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Check Writing Draft</t>
  </si>
  <si>
    <t>Check Line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</si>
  <si>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</si>
  <si>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</si>
  <si>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</si>
  <si>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</si>
  <si>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</si>
  <si>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</si>
  <si>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</si>
  <si>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</si>
  <si>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</si>
  <si>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</si>
  <si>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</si>
  <si>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29/30</t>
  </si>
  <si>
    <t>28/30</t>
  </si>
  <si>
    <t>30/30</t>
  </si>
  <si>
    <t>0/30</t>
  </si>
  <si>
    <t>25/30</t>
  </si>
  <si>
    <t>24/30</t>
  </si>
  <si>
    <t>14/30</t>
  </si>
  <si>
    <t>26/30</t>
  </si>
  <si>
    <t>Listening Exam S1Q2</t>
  </si>
  <si>
    <t>Reading Exam S1Q2</t>
  </si>
  <si>
    <t>Progress 3</t>
  </si>
  <si>
    <t>Progress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</si>
</sst>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color theme="0"/>
      <name val="Aptos"/>
      <family val="2"/>
    </font>
    <font>
      <sz val="11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2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  <xf numFmtId="0" fontId="12" fillId="13" borderId="1" xfId="0" applyFont="1" applyFill="1" applyBorder="1" applyAlignment="1">
      <alignment horizontal="left" vertical="top" wrapText="1"/>
    </xf>
    <xf numFmtId="0" fontId="24" fillId="13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9" fillId="13" borderId="1" xfId="0" applyFont="1" applyFill="1" applyBorder="1" applyAlignment="1">
      <alignment horizontal="left" vertical="top" wrapText="1"/>
    </xf>
    <xf numFmtId="0" fontId="18" fillId="13" borderId="1" xfId="0" applyFont="1" applyFill="1" applyBorder="1" applyAlignment="1">
      <alignment horizontal="left" vertical="top" wrapText="1"/>
    </xf>
    <xf numFmtId="0" fontId="15" fillId="13" borderId="1" xfId="0" applyFont="1" applyFill="1" applyBorder="1" applyAlignment="1">
      <alignment horizontal="left" vertical="top" wrapText="1"/>
    </xf>
    <xf numFmtId="0" fontId="13" fillId="13" borderId="1" xfId="0" applyFont="1" applyFill="1" applyBorder="1" applyAlignment="1">
      <alignment horizontal="left" vertical="top" wrapText="1"/>
    </xf>
    <xf numFmtId="0" fontId="11" fillId="9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0" fontId="19" fillId="15" borderId="1" xfId="0" applyFont="1" applyFill="1" applyBorder="1" applyAlignment="1">
      <alignment horizontal="left" vertical="top" wrapText="1"/>
    </xf>
    <xf numFmtId="0" fontId="11" fillId="15" borderId="1" xfId="0" applyFont="1" applyFill="1" applyBorder="1" applyAlignment="1">
      <alignment horizontal="left" vertical="top" wrapText="1"/>
    </xf>
    <xf numFmtId="0" fontId="18" fillId="15" borderId="1" xfId="0" applyFont="1" applyFill="1" applyBorder="1" applyAlignment="1">
      <alignment horizontal="left" vertical="top" wrapText="1"/>
    </xf>
    <xf numFmtId="0" fontId="12" fillId="15" borderId="1" xfId="0" applyFont="1" applyFill="1" applyBorder="1" applyAlignment="1">
      <alignment horizontal="left" vertical="top" wrapText="1"/>
    </xf>
    <xf numFmtId="0" fontId="24" fillId="15" borderId="0" xfId="0" applyFont="1" applyFill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0" fontId="11" fillId="0" borderId="0" xfId="0" applyNumberFormat="1" applyFont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10" fontId="11" fillId="5" borderId="0" xfId="0" applyNumberFormat="1" applyFont="1" applyFill="1" applyAlignment="1">
      <alignment horizontal="left" vertical="top" wrapText="1"/>
    </xf>
    <xf numFmtId="0" fontId="11" fillId="13" borderId="0" xfId="0" applyFont="1" applyFill="1" applyAlignment="1">
      <alignment horizontal="left" vertical="top" wrapText="1"/>
    </xf>
    <xf numFmtId="0" fontId="23" fillId="4" borderId="1" xfId="0" applyFont="1" applyFill="1" applyBorder="1" applyAlignment="1">
      <alignment horizontal="left" vertical="top" wrapText="1"/>
    </xf>
    <xf numFmtId="0" fontId="23" fillId="5" borderId="1" xfId="0" applyFont="1" applyFill="1" applyBorder="1" applyAlignment="1">
      <alignment horizontal="left" vertical="top" wrapText="1"/>
    </xf>
    <xf numFmtId="10" fontId="11" fillId="13" borderId="0" xfId="0" applyNumberFormat="1" applyFont="1" applyFill="1" applyAlignment="1">
      <alignment horizontal="left" vertical="top" wrapText="1"/>
    </xf>
    <xf numFmtId="10" fontId="11" fillId="2" borderId="0" xfId="0" applyNumberFormat="1" applyFont="1" applyFill="1" applyAlignment="1">
      <alignment horizontal="left" vertical="top" wrapText="1"/>
    </xf>
    <xf numFmtId="0" fontId="11" fillId="15" borderId="0" xfId="0" applyFont="1" applyFill="1" applyAlignment="1">
      <alignment horizontal="left" vertical="top" wrapText="1"/>
    </xf>
    <xf numFmtId="10" fontId="11" fillId="15" borderId="0" xfId="0" applyNumberFormat="1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0" fillId="14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11" borderId="3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8" borderId="2" xfId="0" applyFill="1" applyBorder="1" applyAlignment="1">
      <alignment horizontal="left" vertical="top" wrapText="1"/>
    </xf>
    <xf numFmtId="10" fontId="0" fillId="2" borderId="0" xfId="0" applyNumberFormat="1" applyFill="1" applyAlignment="1">
      <alignment horizontal="left" vertical="top" wrapText="1"/>
    </xf>
    <xf numFmtId="2" fontId="0" fillId="11" borderId="3" xfId="0" applyNumberFormat="1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10" fontId="0" fillId="7" borderId="0" xfId="0" applyNumberForma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2" fontId="0" fillId="13" borderId="3" xfId="0" applyNumberFormat="1" applyFill="1" applyBorder="1" applyAlignment="1">
      <alignment horizontal="left" vertical="top" wrapText="1"/>
    </xf>
    <xf numFmtId="0" fontId="27" fillId="13" borderId="0" xfId="0" applyFont="1" applyFill="1" applyAlignment="1">
      <alignment horizontal="left" vertical="top" wrapText="1"/>
    </xf>
    <xf numFmtId="10" fontId="0" fillId="8" borderId="0" xfId="0" applyNumberFormat="1" applyFill="1" applyAlignment="1">
      <alignment horizontal="left" vertical="top" wrapText="1"/>
    </xf>
    <xf numFmtId="10" fontId="0" fillId="0" borderId="0" xfId="0" applyNumberFormat="1" applyAlignment="1">
      <alignment horizontal="left" vertical="top" wrapText="1"/>
    </xf>
    <xf numFmtId="10" fontId="0" fillId="13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0" fontId="0" fillId="15" borderId="0" xfId="0" applyFill="1" applyAlignment="1">
      <alignment horizontal="left" vertical="top" wrapText="1"/>
    </xf>
    <xf numFmtId="10" fontId="0" fillId="15" borderId="0" xfId="0" applyNumberFormat="1" applyFill="1" applyAlignment="1">
      <alignment horizontal="left" vertical="top" wrapText="1"/>
    </xf>
    <xf numFmtId="2" fontId="0" fillId="15" borderId="3" xfId="0" applyNumberFormat="1" applyFill="1" applyBorder="1" applyAlignment="1">
      <alignment horizontal="left" vertical="top" wrapText="1"/>
    </xf>
    <xf numFmtId="0" fontId="27" fillId="9" borderId="0" xfId="0" applyFont="1" applyFill="1" applyAlignment="1">
      <alignment horizontal="left" vertical="top" wrapText="1"/>
    </xf>
    <xf numFmtId="2" fontId="0" fillId="10" borderId="2" xfId="0" applyNumberFormat="1" applyFill="1" applyBorder="1" applyAlignment="1">
      <alignment horizontal="left" vertical="top" wrapText="1"/>
    </xf>
    <xf numFmtId="2" fontId="0" fillId="10" borderId="3" xfId="0" applyNumberFormat="1" applyFill="1" applyBorder="1" applyAlignment="1">
      <alignment horizontal="left" vertical="top" wrapText="1"/>
    </xf>
    <xf numFmtId="2" fontId="0" fillId="13" borderId="2" xfId="0" applyNumberFormat="1" applyFill="1" applyBorder="1" applyAlignment="1">
      <alignment horizontal="left" vertical="top" wrapText="1"/>
    </xf>
    <xf numFmtId="2" fontId="0" fillId="9" borderId="2" xfId="0" applyNumberFormat="1" applyFill="1" applyBorder="1" applyAlignment="1">
      <alignment horizontal="left" vertical="top" wrapText="1"/>
    </xf>
    <xf numFmtId="2" fontId="0" fillId="9" borderId="3" xfId="0" applyNumberFormat="1" applyFill="1" applyBorder="1" applyAlignment="1">
      <alignment horizontal="left" vertical="top" wrapText="1"/>
    </xf>
    <xf numFmtId="0" fontId="0" fillId="9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10" fontId="0" fillId="16" borderId="0" xfId="0" applyNumberFormat="1" applyFill="1" applyAlignment="1">
      <alignment horizontal="left" vertical="top" wrapText="1"/>
    </xf>
    <xf numFmtId="0" fontId="11" fillId="16" borderId="1" xfId="0" applyFont="1" applyFill="1" applyBorder="1" applyAlignment="1">
      <alignment horizontal="left" vertical="top" wrapText="1"/>
    </xf>
    <xf numFmtId="10" fontId="11" fillId="16" borderId="0" xfId="0" applyNumberFormat="1" applyFont="1" applyFill="1" applyAlignment="1">
      <alignment horizontal="left" vertical="top" wrapText="1"/>
    </xf>
    <xf numFmtId="0" fontId="11" fillId="16" borderId="0" xfId="0" applyFont="1" applyFill="1" applyAlignment="1">
      <alignment horizontal="left" vertical="top" wrapText="1"/>
    </xf>
    <xf numFmtId="0" fontId="11" fillId="4" borderId="0" xfId="0" applyFont="1" applyFill="1" applyAlignment="1">
      <alignment horizontal="left" vertical="top" wrapText="1"/>
    </xf>
    <xf numFmtId="10" fontId="0" fillId="4" borderId="0" xfId="0" applyNumberFormat="1" applyFill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8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20" borderId="1" xfId="0" applyFont="1" applyFill="1" applyBorder="1" applyAlignment="1" applyProtection="1">
      <alignment horizontal="left" vertical="top"/>
      <protection locked="0"/>
    </xf>
    <xf numFmtId="0" fontId="1" fillId="21" borderId="1" xfId="0" applyFont="1" applyFill="1" applyBorder="1" applyAlignment="1" applyProtection="1">
      <alignment horizontal="left" vertical="top"/>
      <protection locked="0"/>
    </xf>
    <xf numFmtId="0" fontId="1" fillId="18" borderId="1" xfId="0" applyFont="1" applyFill="1" applyBorder="1" applyAlignment="1" applyProtection="1">
      <alignment horizontal="left" vertical="top"/>
      <protection locked="0"/>
    </xf>
    <xf numFmtId="0" fontId="1" fillId="19" borderId="1" xfId="0" applyFont="1" applyFill="1" applyBorder="1" applyAlignment="1" applyProtection="1">
      <alignment horizontal="left" vertical="top"/>
      <protection locked="0"/>
    </xf>
    <xf numFmtId="0" fontId="1" fillId="9" borderId="1" xfId="0" applyFont="1" applyFill="1" applyBorder="1" applyAlignment="1" applyProtection="1">
      <alignment horizontal="left" vertical="top"/>
      <protection locked="0"/>
    </xf>
    <xf numFmtId="0" fontId="1" fillId="8" borderId="1" xfId="0" applyFont="1" applyFill="1" applyBorder="1" applyAlignment="1">
      <alignment horizontal="left" vertical="top"/>
    </xf>
    <xf numFmtId="10" fontId="1" fillId="8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" fontId="0" fillId="0" borderId="0" xfId="0" applyNumberFormat="1" applyAlignment="1">
      <alignment vertical="center" wrapText="1"/>
    </xf>
    <xf numFmtId="0" fontId="11" fillId="12" borderId="1" xfId="0" applyFont="1" applyFill="1" applyBorder="1" applyAlignment="1">
      <alignment horizontal="left" vertical="top" wrapText="1"/>
    </xf>
    <xf numFmtId="0" fontId="28" fillId="4" borderId="0" xfId="0" applyFon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M78"/>
  <sheetViews>
    <sheetView tabSelected="1" workbookViewId="0">
      <selection activeCell="A11" sqref="A11"/>
    </sheetView>
  </sheetViews>
  <sheetFormatPr defaultRowHeight="17" customHeight="1"/>
  <cols>
    <col min="1" max="5" width="5.26953125" style="124" customWidth="1"/>
    <col min="6" max="6" width="8.7265625" style="124"/>
    <col min="7" max="7" width="7.7265625" style="124" customWidth="1"/>
    <col min="8" max="8" width="14.54296875" style="124" customWidth="1"/>
    <col min="9" max="10" width="7.6328125" style="125" customWidth="1"/>
    <col min="11" max="16" width="6.81640625" style="125" hidden="1" customWidth="1"/>
    <col min="17" max="22" width="5" style="124" customWidth="1"/>
    <col min="23" max="23" width="72.7265625" style="125" customWidth="1"/>
    <col min="24" max="24" width="52.7265625" style="125" hidden="1" customWidth="1"/>
    <col min="25" max="29" width="8.7265625" style="126"/>
    <col min="30" max="16384" width="8.7265625" style="124"/>
  </cols>
  <sheetData>
    <row r="1" spans="1:39" ht="17" customHeight="1">
      <c r="A1" s="127" t="s">
        <v>468</v>
      </c>
      <c r="B1" s="128" t="s">
        <v>469</v>
      </c>
      <c r="C1" s="129" t="s">
        <v>470</v>
      </c>
      <c r="D1" s="130" t="s">
        <v>471</v>
      </c>
      <c r="E1" s="131" t="s">
        <v>472</v>
      </c>
      <c r="G1" s="122"/>
      <c r="AD1" s="125"/>
      <c r="AE1" s="125"/>
      <c r="AF1" s="125"/>
      <c r="AG1" s="125"/>
      <c r="AH1" s="125"/>
      <c r="AM1" s="125"/>
    </row>
    <row r="2" spans="1:39" ht="17" customHeight="1">
      <c r="A2" s="127">
        <v>42889</v>
      </c>
      <c r="B2" s="128">
        <v>42888</v>
      </c>
      <c r="C2" s="129">
        <v>42973</v>
      </c>
      <c r="D2" s="130">
        <v>43162</v>
      </c>
      <c r="E2" s="131">
        <v>43045</v>
      </c>
      <c r="X2" s="125" t="str">
        <f>IFERROR(INDEX(Grades!DL:DL,MATCH(#REF!,Grades!G:G,0)),"Enter ID")</f>
        <v>Enter ID</v>
      </c>
      <c r="AD2" s="125"/>
      <c r="AE2" s="125"/>
      <c r="AF2" s="125"/>
      <c r="AG2" s="125"/>
      <c r="AH2" s="125"/>
      <c r="AM2" s="125"/>
    </row>
    <row r="3" spans="1:39" ht="17" customHeight="1">
      <c r="A3" s="127">
        <v>42956</v>
      </c>
      <c r="B3" s="128">
        <v>42929</v>
      </c>
      <c r="C3" s="129">
        <v>42983</v>
      </c>
      <c r="D3" s="130">
        <v>43172</v>
      </c>
      <c r="E3" s="131">
        <v>43055</v>
      </c>
      <c r="G3" s="122"/>
      <c r="AD3" s="125"/>
      <c r="AE3" s="125"/>
      <c r="AF3" s="125"/>
      <c r="AG3" s="125"/>
      <c r="AH3" s="125"/>
      <c r="AM3" s="125"/>
    </row>
    <row r="4" spans="1:39" ht="17" customHeight="1">
      <c r="A4" s="127">
        <v>42974</v>
      </c>
      <c r="B4" s="128">
        <v>42970</v>
      </c>
      <c r="C4" s="129">
        <v>42998</v>
      </c>
      <c r="D4" s="130">
        <v>43225</v>
      </c>
      <c r="E4" s="131">
        <v>43063</v>
      </c>
      <c r="G4" s="122"/>
      <c r="AD4" s="125"/>
      <c r="AE4" s="125"/>
      <c r="AF4" s="125"/>
      <c r="AG4" s="125"/>
      <c r="AH4" s="125"/>
      <c r="AM4" s="125"/>
    </row>
    <row r="5" spans="1:39" ht="17" customHeight="1">
      <c r="A5" s="127">
        <v>42978</v>
      </c>
      <c r="B5" s="128">
        <v>42984</v>
      </c>
      <c r="C5" s="129">
        <v>42999</v>
      </c>
      <c r="D5" s="130">
        <v>43245</v>
      </c>
      <c r="E5" s="131">
        <v>43093</v>
      </c>
      <c r="G5" s="122"/>
      <c r="AD5" s="125"/>
      <c r="AE5" s="125"/>
      <c r="AF5" s="125"/>
      <c r="AG5" s="125"/>
      <c r="AH5" s="125"/>
      <c r="AM5" s="125"/>
    </row>
    <row r="6" spans="1:39" ht="17" customHeight="1">
      <c r="A6" s="127">
        <v>42979</v>
      </c>
      <c r="B6" s="128">
        <v>42981</v>
      </c>
      <c r="C6" s="129">
        <v>43023</v>
      </c>
      <c r="D6" s="130">
        <v>43249</v>
      </c>
      <c r="E6" s="131">
        <v>43113</v>
      </c>
      <c r="G6" s="122"/>
      <c r="AD6" s="125"/>
      <c r="AE6" s="125"/>
      <c r="AF6" s="125"/>
      <c r="AG6" s="125"/>
      <c r="AH6" s="125"/>
      <c r="AM6" s="125"/>
    </row>
    <row r="7" spans="1:39" ht="17" customHeight="1">
      <c r="A7" s="127">
        <v>42995</v>
      </c>
      <c r="B7" s="128">
        <v>42997</v>
      </c>
      <c r="C7" s="129">
        <v>43032</v>
      </c>
      <c r="D7" s="130">
        <v>43261</v>
      </c>
      <c r="E7" s="131">
        <v>43128</v>
      </c>
      <c r="G7" s="122"/>
      <c r="AD7" s="125"/>
      <c r="AE7" s="125"/>
      <c r="AF7" s="125"/>
      <c r="AG7" s="125"/>
      <c r="AH7" s="125"/>
      <c r="AM7" s="125"/>
    </row>
    <row r="8" spans="1:39" ht="17" customHeight="1">
      <c r="A8" s="127">
        <v>43015</v>
      </c>
      <c r="B8" s="128">
        <v>43038</v>
      </c>
      <c r="C8" s="129">
        <v>43034</v>
      </c>
      <c r="D8" s="130">
        <v>43262</v>
      </c>
      <c r="E8" s="131">
        <v>43143</v>
      </c>
      <c r="G8" s="122"/>
      <c r="AD8" s="125"/>
      <c r="AE8" s="125"/>
      <c r="AF8" s="125"/>
      <c r="AG8" s="125"/>
      <c r="AH8" s="125"/>
      <c r="AM8" s="125"/>
    </row>
    <row r="9" spans="1:39" ht="17" customHeight="1">
      <c r="A9" s="127">
        <v>43017</v>
      </c>
      <c r="B9" s="128">
        <v>43049</v>
      </c>
      <c r="C9" s="129">
        <v>43056</v>
      </c>
      <c r="D9" s="130">
        <v>43265</v>
      </c>
      <c r="E9" s="131">
        <v>43144</v>
      </c>
      <c r="G9" s="122"/>
      <c r="AD9" s="125"/>
      <c r="AE9" s="125"/>
      <c r="AF9" s="125"/>
      <c r="AG9" s="125"/>
      <c r="AH9" s="125"/>
      <c r="AM9" s="125"/>
    </row>
    <row r="10" spans="1:39" ht="17" customHeight="1">
      <c r="A10" s="127">
        <v>43150</v>
      </c>
      <c r="B10" s="128">
        <v>43061</v>
      </c>
      <c r="C10" s="129">
        <v>44558</v>
      </c>
      <c r="D10" s="130">
        <v>46953</v>
      </c>
      <c r="E10" s="131">
        <v>46496</v>
      </c>
      <c r="G10" s="122"/>
      <c r="AD10" s="125"/>
      <c r="AE10" s="125"/>
      <c r="AF10" s="125"/>
      <c r="AG10" s="125"/>
      <c r="AH10" s="125"/>
      <c r="AM10" s="125"/>
    </row>
    <row r="11" spans="1:39" ht="17" customHeight="1">
      <c r="A11" s="127">
        <v>43163</v>
      </c>
      <c r="B11" s="128">
        <v>43071</v>
      </c>
      <c r="C11" s="129">
        <v>44563</v>
      </c>
      <c r="D11" s="130">
        <v>46958</v>
      </c>
      <c r="E11" s="131">
        <v>46923</v>
      </c>
      <c r="G11" s="122"/>
      <c r="AD11" s="125"/>
      <c r="AE11" s="125"/>
      <c r="AF11" s="125"/>
      <c r="AG11" s="125"/>
      <c r="AH11" s="125"/>
      <c r="AM11" s="125"/>
    </row>
    <row r="12" spans="1:39" ht="17" customHeight="1">
      <c r="A12" s="127">
        <v>43173</v>
      </c>
      <c r="B12" s="128">
        <v>43182</v>
      </c>
      <c r="C12" s="129">
        <v>44589</v>
      </c>
      <c r="D12" s="130">
        <v>47035</v>
      </c>
      <c r="E12" s="131">
        <v>46924</v>
      </c>
      <c r="G12" s="122"/>
      <c r="AD12" s="125"/>
      <c r="AE12" s="125"/>
      <c r="AF12" s="125"/>
      <c r="AG12" s="125"/>
      <c r="AH12" s="125"/>
      <c r="AM12" s="125"/>
    </row>
    <row r="13" spans="1:39" ht="17" customHeight="1">
      <c r="A13" s="127">
        <v>43217</v>
      </c>
      <c r="B13" s="128">
        <v>43224</v>
      </c>
      <c r="C13" s="129">
        <v>45165</v>
      </c>
      <c r="D13" s="130">
        <v>47064</v>
      </c>
      <c r="E13" s="131">
        <v>46930</v>
      </c>
      <c r="G13" s="122"/>
      <c r="AD13" s="125"/>
      <c r="AE13" s="125"/>
      <c r="AF13" s="125"/>
      <c r="AG13" s="125"/>
      <c r="AH13" s="125"/>
      <c r="AM13" s="125"/>
    </row>
    <row r="14" spans="1:39" ht="17" customHeight="1">
      <c r="A14" s="127">
        <v>43220</v>
      </c>
      <c r="B14" s="128">
        <v>43251</v>
      </c>
      <c r="C14" s="129">
        <v>45875</v>
      </c>
      <c r="D14" s="130">
        <v>47074</v>
      </c>
      <c r="E14" s="131">
        <v>46934</v>
      </c>
      <c r="G14" s="122"/>
      <c r="AD14" s="125"/>
      <c r="AE14" s="125"/>
      <c r="AF14" s="125"/>
      <c r="AG14" s="125"/>
      <c r="AH14" s="125"/>
      <c r="AM14" s="125"/>
    </row>
    <row r="15" spans="1:39" ht="17" customHeight="1">
      <c r="A15" s="127">
        <v>55555</v>
      </c>
      <c r="B15" s="128">
        <v>43255</v>
      </c>
      <c r="C15" s="129">
        <v>45875</v>
      </c>
      <c r="D15" s="130">
        <v>47086</v>
      </c>
      <c r="E15" s="131">
        <v>46939</v>
      </c>
      <c r="G15" s="122"/>
      <c r="AD15" s="125"/>
      <c r="AE15" s="125"/>
      <c r="AF15" s="125"/>
      <c r="AG15" s="125"/>
      <c r="AH15" s="125"/>
      <c r="AM15" s="125"/>
    </row>
    <row r="16" spans="1:39" ht="17" customHeight="1">
      <c r="A16" s="127">
        <v>43226</v>
      </c>
      <c r="B16" s="128">
        <v>43427</v>
      </c>
      <c r="C16" s="129">
        <v>45892</v>
      </c>
      <c r="D16" s="130"/>
      <c r="E16" s="131">
        <v>47124</v>
      </c>
      <c r="G16" s="122"/>
      <c r="AD16" s="125"/>
      <c r="AE16" s="125"/>
      <c r="AF16" s="125"/>
      <c r="AG16" s="125"/>
      <c r="AH16" s="125"/>
      <c r="AM16" s="125"/>
    </row>
    <row r="17" spans="1:39" ht="17" customHeight="1">
      <c r="A17" s="127">
        <v>0</v>
      </c>
      <c r="B17" s="128"/>
      <c r="C17" s="129">
        <v>46491</v>
      </c>
      <c r="D17" s="130"/>
      <c r="E17" s="131"/>
      <c r="G17" s="122"/>
      <c r="AD17" s="125"/>
      <c r="AE17" s="125"/>
      <c r="AF17" s="125"/>
      <c r="AG17" s="125"/>
      <c r="AH17" s="125"/>
      <c r="AM17" s="125"/>
    </row>
    <row r="18" spans="1:39" ht="17" customHeight="1">
      <c r="G18" s="122"/>
      <c r="AD18" s="125"/>
      <c r="AE18" s="125"/>
      <c r="AF18" s="125"/>
      <c r="AG18" s="125"/>
      <c r="AH18" s="125"/>
      <c r="AM18" s="125"/>
    </row>
    <row r="19" spans="1:39" ht="17" customHeight="1">
      <c r="F19" s="132" t="s">
        <v>623</v>
      </c>
      <c r="G19" s="123" t="s">
        <v>622</v>
      </c>
      <c r="H19" s="123" t="s">
        <v>621</v>
      </c>
      <c r="I19" s="133" t="s">
        <v>480</v>
      </c>
      <c r="J19" s="133" t="s">
        <v>481</v>
      </c>
      <c r="K19" s="133" t="s">
        <v>482</v>
      </c>
      <c r="L19" s="133" t="s">
        <v>483</v>
      </c>
      <c r="M19" s="133" t="s">
        <v>484</v>
      </c>
      <c r="N19" s="133" t="s">
        <v>485</v>
      </c>
      <c r="O19" s="133" t="s">
        <v>486</v>
      </c>
      <c r="P19" s="133" t="s">
        <v>487</v>
      </c>
      <c r="Q19" s="132" t="s">
        <v>617</v>
      </c>
      <c r="R19" s="132" t="s">
        <v>618</v>
      </c>
      <c r="S19" s="132" t="s">
        <v>619</v>
      </c>
      <c r="T19" s="132" t="s">
        <v>620</v>
      </c>
      <c r="U19" s="132" t="s">
        <v>482</v>
      </c>
      <c r="V19" s="132" t="s">
        <v>483</v>
      </c>
      <c r="W19" s="133" t="s">
        <v>596</v>
      </c>
    </row>
    <row r="20" spans="1:39" ht="17" customHeight="1">
      <c r="F20" s="134">
        <f>IFERROR(INDEX(Grades!C:C,MATCH($G20,Grades!$G:$G,0)),"")</f>
        <v>11.1</v>
      </c>
      <c r="G20" s="134">
        <v>43163</v>
      </c>
      <c r="H20" s="135" t="str">
        <f>IFERROR(INDEX(Grades!I:I,MATCH($G20,Grades!$G:$G,0)),"")</f>
        <v>Theerapith</v>
      </c>
      <c r="I20" s="135">
        <f>IFERROR(INDEX(Grades!J:J,MATCH($G20,Grades!$G:$G,0)),"")</f>
        <v>1</v>
      </c>
      <c r="J20" s="135">
        <f>IFERROR(INDEX(Grades!K:K,MATCH($G20,Grades!$G:$G,0)),"")</f>
        <v>1</v>
      </c>
      <c r="K20" s="135">
        <f>IFERROR(INDEX(Grades!L:L,MATCH($G20,Grades!$G:$G,0)),"Enter ID")</f>
        <v>0</v>
      </c>
      <c r="L20" s="135">
        <f>IFERROR(INDEX(Grades!M:M,MATCH($G20,Grades!$G:$G,0)),"Enter ID")</f>
        <v>0</v>
      </c>
      <c r="M20" s="135">
        <f>IFERROR(INDEX(Grades!N:N,MATCH($G20,Grades!$G:$G,0)),"Enter ID")</f>
        <v>0</v>
      </c>
      <c r="N20" s="135">
        <f>IFERROR(INDEX(Grades!O:O,MATCH($G20,Grades!$G:$G,0)),"Enter ID")</f>
        <v>0</v>
      </c>
      <c r="O20" s="135">
        <f>IFERROR(INDEX(Grades!P:P,MATCH($G20,Grades!$G:$G,0)),"Enter ID")</f>
        <v>0</v>
      </c>
      <c r="P20" s="135">
        <f>IFERROR(INDEX(Grades!Q:Q,MATCH($G20,Grades!$G:$G,0)),"Enter ID")</f>
        <v>0</v>
      </c>
      <c r="Q20" s="134">
        <f>IFERROR(INDEX(Grades!R:R,MATCH($G20,Grades!$G:$G,0)),"")</f>
        <v>20</v>
      </c>
      <c r="R20" s="134">
        <f>IFERROR(INDEX(Grades!S:S,MATCH($G20,Grades!$G:$G,0)),"")</f>
        <v>18</v>
      </c>
      <c r="S20" s="134">
        <f>IFERROR(INDEX(Grades!T:T,MATCH($G20,Grades!$G:$G,0)),"")</f>
        <v>20</v>
      </c>
      <c r="T20" s="134">
        <f>IFERROR(INDEX(Grades!U:U,MATCH($G20,Grades!$G:$G,0)),"")</f>
        <v>20</v>
      </c>
      <c r="U20" s="134">
        <f>IFERROR(INDEX(Grades!BO:BO,MATCH($G20,Grades!$G:$G,0)),"")</f>
        <v>0</v>
      </c>
      <c r="V20" s="134">
        <f>IFERROR(INDEX(Grades!BP:BP,MATCH($G20,Grades!$G:$G,0)),"")</f>
        <v>0</v>
      </c>
      <c r="W20" s="135" t="str">
        <f>IFERROR(INDEX(Grades!CK:CK,MATCH($G20,Grades!$G:$G,0)),"")</f>
        <v>Positive, attentive, polite, friendly.</v>
      </c>
    </row>
    <row r="21" spans="1:39" ht="17" customHeight="1">
      <c r="H21" s="122"/>
    </row>
    <row r="22" spans="1:39" ht="17" customHeight="1">
      <c r="H22" s="122"/>
    </row>
    <row r="23" spans="1:39" ht="17" customHeight="1">
      <c r="H23" s="122"/>
    </row>
    <row r="24" spans="1:39" ht="17" customHeight="1">
      <c r="H24" s="122"/>
    </row>
    <row r="25" spans="1:39" ht="17" customHeight="1">
      <c r="H25" s="122"/>
    </row>
    <row r="26" spans="1:39" ht="17" customHeight="1">
      <c r="H26" s="122"/>
    </row>
    <row r="27" spans="1:39" ht="17" customHeight="1">
      <c r="H27" s="122"/>
    </row>
    <row r="28" spans="1:39" ht="17" customHeight="1">
      <c r="H28" s="122"/>
    </row>
    <row r="29" spans="1:39" ht="17" customHeight="1">
      <c r="H29" s="122"/>
    </row>
    <row r="30" spans="1:39" ht="17" customHeight="1">
      <c r="H30" s="122"/>
    </row>
    <row r="31" spans="1:39" ht="17" customHeight="1">
      <c r="H31" s="122"/>
    </row>
    <row r="32" spans="1:39" ht="17" customHeight="1">
      <c r="H32" s="122"/>
    </row>
    <row r="33" spans="6:23" ht="17" customHeight="1">
      <c r="H33" s="122"/>
    </row>
    <row r="34" spans="6:23" ht="17" customHeight="1">
      <c r="H34" s="122"/>
    </row>
    <row r="35" spans="6:23" ht="17" customHeight="1">
      <c r="H35" s="122"/>
    </row>
    <row r="36" spans="6:23" ht="17" customHeight="1">
      <c r="H36" s="122"/>
    </row>
    <row r="37" spans="6:23" ht="17" customHeight="1">
      <c r="H37" s="122"/>
    </row>
    <row r="38" spans="6:23" ht="17" customHeight="1">
      <c r="F38" s="132" t="s">
        <v>623</v>
      </c>
      <c r="H38" s="123" t="s">
        <v>621</v>
      </c>
      <c r="I38" s="133" t="s">
        <v>480</v>
      </c>
      <c r="J38" s="133" t="s">
        <v>481</v>
      </c>
      <c r="K38" s="133" t="s">
        <v>482</v>
      </c>
      <c r="L38" s="133" t="s">
        <v>483</v>
      </c>
      <c r="M38" s="133" t="s">
        <v>484</v>
      </c>
      <c r="N38" s="133" t="s">
        <v>485</v>
      </c>
      <c r="O38" s="133" t="s">
        <v>486</v>
      </c>
      <c r="P38" s="133" t="s">
        <v>487</v>
      </c>
      <c r="Q38" s="132" t="s">
        <v>617</v>
      </c>
      <c r="R38" s="132" t="s">
        <v>618</v>
      </c>
      <c r="S38" s="132" t="s">
        <v>619</v>
      </c>
      <c r="T38" s="132" t="s">
        <v>620</v>
      </c>
      <c r="U38" s="132"/>
      <c r="V38" s="132"/>
      <c r="W38" s="133" t="s">
        <v>596</v>
      </c>
    </row>
    <row r="39" spans="6:23" ht="17" customHeight="1">
      <c r="F39" s="136" t="str">
        <f>IFERROR(INDEX(Grades!C:C,MATCH(#REF!,Grades!$G:$G,22)),"Enter ID")</f>
        <v>Enter ID</v>
      </c>
      <c r="H39" s="137" t="str">
        <f>IFERROR(INDEX(Grades!I:I,MATCH(#REF!,Grades!$G:$G,0)),"Enter ID")</f>
        <v>Enter ID</v>
      </c>
      <c r="I39" s="137" t="str">
        <f>IFERROR(INDEX(Grades!J:J,MATCH(#REF!,Grades!$G:$G,0)),"Enter ID")</f>
        <v>Enter ID</v>
      </c>
      <c r="J39" s="137" t="str">
        <f>IFERROR(INDEX(Grades!K:K,MATCH(#REF!,Grades!$G:$G,0)),"Enter ID")</f>
        <v>Enter ID</v>
      </c>
      <c r="K39" s="137" t="str">
        <f>IFERROR(INDEX(Grades!AL:AL,MATCH(S39,Grades!H:H,0)),"Enter ID")</f>
        <v>Enter ID</v>
      </c>
      <c r="L39" s="137" t="str">
        <f>IFERROR(INDEX(Grades!AM:AM,MATCH(T39,Grades!I:I,0)),"Enter ID")</f>
        <v>Enter ID</v>
      </c>
      <c r="M39" s="137" t="str">
        <f>IFERROR(INDEX(Grades!AN:AN,MATCH(W39,Grades!J:J,0)),"Enter ID")</f>
        <v>Enter ID</v>
      </c>
      <c r="N39" s="137" t="str">
        <f>IFERROR(INDEX(Grades!AO:AO,MATCH(X2,Grades!K:K,0)),"Enter ID")</f>
        <v>Enter ID</v>
      </c>
      <c r="O39" s="137" t="str">
        <f>IFERROR(INDEX(Grades!AP:AP,MATCH(#REF!,Grades!R:R,0)),"Enter ID")</f>
        <v>Enter ID</v>
      </c>
      <c r="P39" s="137" t="str">
        <f>IFERROR(INDEX(Grades!AQ:AQ,MATCH(#REF!,Grades!S:S,0)),"Enter ID")</f>
        <v>Enter ID</v>
      </c>
      <c r="Q39" s="136" t="str">
        <f>IFERROR(INDEX(Grades!S:S,MATCH(#REF!,Grades!$G:$G,0)),"Enter ID")</f>
        <v>Enter ID</v>
      </c>
      <c r="R39" s="136" t="str">
        <f>IFERROR(INDEX(Grades!T:T,MATCH(#REF!,Grades!$G:$G,0)),"Enter ID")</f>
        <v>Enter ID</v>
      </c>
      <c r="S39" s="136" t="str">
        <f>IFERROR(INDEX(Grades!U:U,MATCH(#REF!,Grades!$G:$G,0)),"Enter ID")</f>
        <v>Enter ID</v>
      </c>
      <c r="T39" s="136" t="str">
        <f>IFERROR(INDEX(Grades!U:U,MATCH(#REF!,Grades!$G:$G,0)),"Enter ID")</f>
        <v>Enter ID</v>
      </c>
      <c r="U39" s="136"/>
      <c r="V39" s="136"/>
      <c r="W39" s="137" t="str">
        <f>IFERROR(INDEX(Grades!CK:CK,MATCH(#REF!,Grades!G:G,0)),"Enter ID")</f>
        <v>Enter ID</v>
      </c>
    </row>
    <row r="40" spans="6:23" ht="17" customHeight="1">
      <c r="H40" s="125"/>
    </row>
    <row r="41" spans="6:23" ht="17" customHeight="1">
      <c r="H41" s="125"/>
    </row>
    <row r="42" spans="6:23" ht="17" customHeight="1">
      <c r="H42" s="125"/>
    </row>
    <row r="43" spans="6:23" ht="17" customHeight="1">
      <c r="H43" s="125"/>
    </row>
    <row r="44" spans="6:23" ht="17" customHeight="1">
      <c r="H44" s="125"/>
    </row>
    <row r="45" spans="6:23" ht="17" customHeight="1">
      <c r="H45" s="125"/>
    </row>
    <row r="46" spans="6:23" ht="17" customHeight="1">
      <c r="H46" s="125"/>
    </row>
    <row r="47" spans="6:23" ht="17" customHeight="1">
      <c r="H47" s="125"/>
    </row>
    <row r="48" spans="6:23" ht="17" customHeight="1">
      <c r="H48" s="125"/>
    </row>
    <row r="49" spans="8:8" ht="17" customHeight="1">
      <c r="H49" s="125"/>
    </row>
    <row r="50" spans="8:8" ht="17" customHeight="1">
      <c r="H50" s="125"/>
    </row>
    <row r="51" spans="8:8" ht="17" customHeight="1">
      <c r="H51" s="125"/>
    </row>
    <row r="52" spans="8:8" ht="17" customHeight="1">
      <c r="H52" s="125"/>
    </row>
    <row r="53" spans="8:8" ht="17" customHeight="1">
      <c r="H53" s="125"/>
    </row>
    <row r="54" spans="8:8" ht="17" customHeight="1">
      <c r="H54" s="125"/>
    </row>
    <row r="55" spans="8:8" ht="17" customHeight="1">
      <c r="H55" s="125"/>
    </row>
    <row r="56" spans="8:8" ht="17" customHeight="1">
      <c r="H56" s="125"/>
    </row>
    <row r="57" spans="8:8" ht="17" customHeight="1">
      <c r="H57" s="125"/>
    </row>
    <row r="58" spans="8:8" ht="17" customHeight="1">
      <c r="H58" s="125"/>
    </row>
    <row r="59" spans="8:8" ht="17" customHeight="1">
      <c r="H59" s="125"/>
    </row>
    <row r="60" spans="8:8" ht="17" customHeight="1">
      <c r="H60" s="125"/>
    </row>
    <row r="61" spans="8:8" ht="17" customHeight="1">
      <c r="H61" s="125"/>
    </row>
    <row r="62" spans="8:8" ht="17" customHeight="1">
      <c r="H62" s="125"/>
    </row>
    <row r="63" spans="8:8" ht="17" customHeight="1">
      <c r="H63" s="125"/>
    </row>
    <row r="64" spans="8:8" ht="17" customHeight="1">
      <c r="H64" s="125"/>
    </row>
    <row r="65" spans="8:8" ht="17" customHeight="1">
      <c r="H65" s="125"/>
    </row>
    <row r="66" spans="8:8" ht="17" customHeight="1">
      <c r="H66" s="125"/>
    </row>
    <row r="67" spans="8:8" ht="17" customHeight="1">
      <c r="H67" s="125"/>
    </row>
    <row r="68" spans="8:8" ht="17" customHeight="1">
      <c r="H68" s="125"/>
    </row>
    <row r="69" spans="8:8" ht="17" customHeight="1">
      <c r="H69" s="125"/>
    </row>
    <row r="70" spans="8:8" ht="17" customHeight="1">
      <c r="H70" s="125"/>
    </row>
    <row r="71" spans="8:8" ht="17" customHeight="1">
      <c r="H71" s="125"/>
    </row>
    <row r="72" spans="8:8" ht="17" customHeight="1">
      <c r="H72" s="125"/>
    </row>
    <row r="73" spans="8:8" ht="17" customHeight="1">
      <c r="H73" s="125"/>
    </row>
    <row r="74" spans="8:8" ht="17" customHeight="1">
      <c r="H74" s="125"/>
    </row>
    <row r="75" spans="8:8" ht="17" customHeight="1">
      <c r="H75" s="125"/>
    </row>
    <row r="76" spans="8:8" ht="17" customHeight="1">
      <c r="H76" s="125"/>
    </row>
    <row r="77" spans="8:8" ht="17" customHeight="1">
      <c r="H77" s="125"/>
    </row>
    <row r="78" spans="8:8" ht="17" customHeight="1">
      <c r="H78" s="125"/>
    </row>
  </sheetData>
  <sheetProtection sheet="1" objects="1" scenarios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CM98"/>
  <sheetViews>
    <sheetView topLeftCell="AZ2" zoomScale="120" zoomScaleNormal="120" workbookViewId="0">
      <selection activeCell="BP2" sqref="BP2"/>
    </sheetView>
  </sheetViews>
  <sheetFormatPr defaultColWidth="1.36328125" defaultRowHeight="17" customHeight="1"/>
  <cols>
    <col min="1" max="9" width="10.26953125" style="47" hidden="1" customWidth="1"/>
    <col min="10" max="10" width="10.26953125" style="117" hidden="1" customWidth="1"/>
    <col min="11" max="17" width="10.26953125" style="113" hidden="1" customWidth="1"/>
    <col min="18" max="19" width="10.26953125" style="81" hidden="1" customWidth="1"/>
    <col min="20" max="20" width="10.26953125" style="82" hidden="1" customWidth="1"/>
    <col min="21" max="21" width="10.26953125" style="83" hidden="1" customWidth="1"/>
    <col min="22" max="29" width="10.26953125" style="47" hidden="1" customWidth="1"/>
    <col min="30" max="33" width="10.26953125" style="71" hidden="1" customWidth="1"/>
    <col min="34" max="37" width="10.26953125" style="52" hidden="1" customWidth="1"/>
    <col min="38" max="38" width="10.26953125" style="47" hidden="1" customWidth="1"/>
    <col min="39" max="42" width="10.26953125" style="52" hidden="1" customWidth="1"/>
    <col min="43" max="43" width="10.26953125" style="105" hidden="1" customWidth="1"/>
    <col min="44" max="47" width="10.26953125" style="106" hidden="1" customWidth="1"/>
    <col min="48" max="48" width="10.26953125" style="85" hidden="1" customWidth="1"/>
    <col min="49" max="49" width="10.26953125" style="47" hidden="1" customWidth="1"/>
    <col min="50" max="50" width="10.26953125" style="82" hidden="1" customWidth="1"/>
    <col min="51" max="51" width="10.26953125" style="86" hidden="1" customWidth="1"/>
    <col min="52" max="53" width="10.26953125" style="47" customWidth="1"/>
    <col min="54" max="54" width="16.453125" style="47" customWidth="1"/>
    <col min="55" max="55" width="10.26953125" style="47" hidden="1" customWidth="1"/>
    <col min="56" max="56" width="10.26953125" style="86" hidden="1" customWidth="1"/>
    <col min="57" max="57" width="10.26953125" style="62" hidden="1" customWidth="1"/>
    <col min="58" max="61" width="10.26953125" style="110" hidden="1" customWidth="1"/>
    <col min="62" max="62" width="10.26953125" style="99" hidden="1" customWidth="1"/>
    <col min="63" max="63" width="10.26953125" style="87" hidden="1" customWidth="1"/>
    <col min="64" max="64" width="10.26953125" style="83" hidden="1" customWidth="1"/>
    <col min="65" max="66" width="10.26953125" style="52" hidden="1" customWidth="1"/>
    <col min="67" max="68" width="10.26953125" style="99" customWidth="1"/>
    <col min="69" max="93" width="10.26953125" style="52" customWidth="1"/>
    <col min="94" max="16384" width="1.36328125" style="52"/>
  </cols>
  <sheetData>
    <row r="1" spans="1:9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>
        <v>11.1</v>
      </c>
      <c r="I1" s="20">
        <v>11.1</v>
      </c>
      <c r="J1" s="115" t="s">
        <v>467</v>
      </c>
      <c r="K1" s="113" t="s">
        <v>478</v>
      </c>
      <c r="R1" s="81" t="s">
        <v>597</v>
      </c>
      <c r="S1" s="81" t="s">
        <v>598</v>
      </c>
      <c r="T1" s="82" t="s">
        <v>615</v>
      </c>
      <c r="U1" s="83" t="s">
        <v>616</v>
      </c>
      <c r="V1" s="20" t="s">
        <v>233</v>
      </c>
      <c r="W1" s="19"/>
      <c r="X1" s="20"/>
      <c r="Y1" s="52" t="s">
        <v>490</v>
      </c>
      <c r="Z1" s="20" t="s">
        <v>465</v>
      </c>
      <c r="AA1" s="20" t="s">
        <v>466</v>
      </c>
      <c r="AB1" s="20" t="s">
        <v>467</v>
      </c>
      <c r="AC1" s="47" t="s">
        <v>475</v>
      </c>
      <c r="AD1" s="69" t="s">
        <v>476</v>
      </c>
      <c r="AE1" s="69" t="s">
        <v>477</v>
      </c>
      <c r="AF1" s="69" t="s">
        <v>479</v>
      </c>
      <c r="AG1" s="69" t="s">
        <v>478</v>
      </c>
      <c r="AH1" s="52" t="s">
        <v>476</v>
      </c>
      <c r="AI1" s="52" t="s">
        <v>477</v>
      </c>
      <c r="AJ1" s="52" t="s">
        <v>479</v>
      </c>
      <c r="AK1" s="52" t="s">
        <v>478</v>
      </c>
      <c r="AL1" s="20" t="s">
        <v>488</v>
      </c>
      <c r="AM1" s="52" t="s">
        <v>489</v>
      </c>
      <c r="AN1" s="52" t="s">
        <v>597</v>
      </c>
      <c r="AO1" s="52" t="s">
        <v>598</v>
      </c>
      <c r="AP1" s="84" t="s">
        <v>490</v>
      </c>
      <c r="AQ1" s="84" t="s">
        <v>601</v>
      </c>
      <c r="AR1" s="84" t="s">
        <v>602</v>
      </c>
      <c r="AS1" s="84" t="s">
        <v>603</v>
      </c>
      <c r="AT1" s="84" t="s">
        <v>604</v>
      </c>
      <c r="AU1" s="84" t="s">
        <v>608</v>
      </c>
      <c r="AV1" s="85" t="s">
        <v>605</v>
      </c>
      <c r="AW1" s="52" t="s">
        <v>490</v>
      </c>
      <c r="AX1" s="82" t="s">
        <v>615</v>
      </c>
      <c r="AZ1" s="20">
        <v>11.1</v>
      </c>
      <c r="BA1" s="20">
        <v>11.1</v>
      </c>
      <c r="BB1" s="20">
        <v>11.1</v>
      </c>
      <c r="BC1" s="19"/>
      <c r="BD1" s="86" t="s">
        <v>607</v>
      </c>
      <c r="BE1" s="62" t="s">
        <v>490</v>
      </c>
      <c r="BF1" s="62" t="s">
        <v>609</v>
      </c>
      <c r="BG1" s="62" t="s">
        <v>610</v>
      </c>
      <c r="BH1" s="62" t="s">
        <v>611</v>
      </c>
      <c r="BI1" s="62" t="s">
        <v>612</v>
      </c>
      <c r="BJ1" s="62" t="s">
        <v>616</v>
      </c>
      <c r="BK1" s="87" t="s">
        <v>606</v>
      </c>
      <c r="BL1" s="83" t="s">
        <v>616</v>
      </c>
      <c r="BM1" s="52" t="s">
        <v>599</v>
      </c>
      <c r="BO1" s="99" t="s">
        <v>636</v>
      </c>
      <c r="BP1" s="99" t="s">
        <v>637</v>
      </c>
      <c r="CD1" s="51" t="s">
        <v>491</v>
      </c>
      <c r="CE1" s="47" t="s">
        <v>490</v>
      </c>
      <c r="CF1" s="47" t="s">
        <v>488</v>
      </c>
      <c r="CG1" s="47" t="s">
        <v>489</v>
      </c>
      <c r="CH1" s="47" t="s">
        <v>569</v>
      </c>
      <c r="CK1" s="52" t="s">
        <v>569</v>
      </c>
      <c r="CM1" s="84" t="s">
        <v>591</v>
      </c>
    </row>
    <row r="2" spans="1:9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0">
        <v>11.1</v>
      </c>
      <c r="G2" s="22">
        <v>42889</v>
      </c>
      <c r="H2" s="20">
        <v>11.1</v>
      </c>
      <c r="I2" s="23" t="s">
        <v>234</v>
      </c>
      <c r="J2" s="116">
        <v>0.93300000000000005</v>
      </c>
      <c r="K2" s="114">
        <v>0.66669999999999996</v>
      </c>
      <c r="L2" s="114"/>
      <c r="M2" s="114"/>
      <c r="N2" s="114"/>
      <c r="O2" s="114"/>
      <c r="P2" s="114"/>
      <c r="Q2" s="114"/>
      <c r="R2" s="81">
        <v>15</v>
      </c>
      <c r="S2" s="81">
        <v>19</v>
      </c>
      <c r="T2" s="82">
        <v>20</v>
      </c>
      <c r="U2" s="83">
        <v>20</v>
      </c>
      <c r="V2" s="23" t="s">
        <v>235</v>
      </c>
      <c r="W2" s="22" t="s">
        <v>3</v>
      </c>
      <c r="X2" s="23" t="s">
        <v>370</v>
      </c>
      <c r="Y2" s="23" t="s">
        <v>444</v>
      </c>
      <c r="Z2" s="23">
        <v>-2</v>
      </c>
      <c r="AA2" s="47">
        <v>28</v>
      </c>
      <c r="AB2" s="70">
        <v>0.93300000000000005</v>
      </c>
      <c r="AC2" s="47" t="s">
        <v>444</v>
      </c>
      <c r="AD2" s="71">
        <v>13</v>
      </c>
      <c r="AE2" s="71">
        <v>7</v>
      </c>
      <c r="AF2" s="69"/>
      <c r="AG2" s="72"/>
      <c r="AH2" s="52">
        <v>13</v>
      </c>
      <c r="AI2" s="52">
        <v>7</v>
      </c>
      <c r="AJ2" s="52">
        <v>20</v>
      </c>
      <c r="AK2" s="88">
        <v>0.66669999999999996</v>
      </c>
      <c r="AL2" s="70">
        <v>0.93300000000000005</v>
      </c>
      <c r="AM2" s="88">
        <v>0.66669999999999996</v>
      </c>
      <c r="AN2" s="52">
        <v>15</v>
      </c>
      <c r="AO2" s="52">
        <v>19</v>
      </c>
      <c r="AP2" s="52" t="s">
        <v>444</v>
      </c>
      <c r="AQ2" s="52">
        <v>5</v>
      </c>
      <c r="AR2" s="52">
        <v>5</v>
      </c>
      <c r="AS2" s="52">
        <v>5</v>
      </c>
      <c r="AT2" s="52">
        <v>5</v>
      </c>
      <c r="AU2" s="52">
        <v>20</v>
      </c>
      <c r="AV2" s="89">
        <f>SUM(AQ2:AT2)</f>
        <v>20</v>
      </c>
      <c r="AW2" s="23" t="s">
        <v>444</v>
      </c>
      <c r="AX2" s="82">
        <v>20</v>
      </c>
      <c r="AZ2" s="20">
        <v>11.1</v>
      </c>
      <c r="BA2" s="22">
        <v>42889</v>
      </c>
      <c r="BB2" s="23" t="s">
        <v>234</v>
      </c>
      <c r="BC2" s="22" t="s">
        <v>3</v>
      </c>
      <c r="BE2" s="62" t="s">
        <v>444</v>
      </c>
      <c r="BF2" s="62">
        <v>5</v>
      </c>
      <c r="BG2" s="62">
        <v>5</v>
      </c>
      <c r="BH2" s="62">
        <v>5</v>
      </c>
      <c r="BI2" s="62">
        <v>5</v>
      </c>
      <c r="BJ2" s="62">
        <v>20</v>
      </c>
      <c r="BK2" s="90">
        <f>SUM(BF2:BI2)</f>
        <v>20</v>
      </c>
      <c r="BL2" s="83">
        <v>20</v>
      </c>
      <c r="BM2" s="52" t="s">
        <v>592</v>
      </c>
      <c r="BN2" s="52" t="s">
        <v>591</v>
      </c>
      <c r="BO2" s="99">
        <v>20</v>
      </c>
      <c r="BP2" s="99">
        <v>0</v>
      </c>
      <c r="CD2" s="51" t="s">
        <v>492</v>
      </c>
      <c r="CE2" s="47" t="s">
        <v>444</v>
      </c>
      <c r="CF2" s="70">
        <v>0.93300000000000005</v>
      </c>
      <c r="CG2" s="70">
        <v>0.66669999999999996</v>
      </c>
      <c r="CH2" s="47" t="s">
        <v>570</v>
      </c>
      <c r="CK2" s="52" t="s">
        <v>624</v>
      </c>
      <c r="CM2" s="84" t="s">
        <v>592</v>
      </c>
    </row>
    <row r="3" spans="1:9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0">
        <v>11.1</v>
      </c>
      <c r="G3" s="22">
        <v>42956</v>
      </c>
      <c r="H3" s="20">
        <v>11.1</v>
      </c>
      <c r="I3" s="23" t="s">
        <v>236</v>
      </c>
      <c r="J3" s="116">
        <v>0.7</v>
      </c>
      <c r="K3" s="114">
        <v>0.63329999999999997</v>
      </c>
      <c r="L3" s="114"/>
      <c r="M3" s="114"/>
      <c r="N3" s="114"/>
      <c r="O3" s="114"/>
      <c r="P3" s="114"/>
      <c r="Q3" s="114"/>
      <c r="R3" s="81">
        <v>14</v>
      </c>
      <c r="S3" s="81">
        <v>18</v>
      </c>
      <c r="T3" s="82">
        <v>19.5</v>
      </c>
      <c r="U3" s="83">
        <v>19.5</v>
      </c>
      <c r="V3" s="23" t="s">
        <v>237</v>
      </c>
      <c r="W3" s="22" t="s">
        <v>6</v>
      </c>
      <c r="X3" s="20" t="s">
        <v>403</v>
      </c>
      <c r="Y3" s="20" t="s">
        <v>446</v>
      </c>
      <c r="Z3" s="23">
        <v>-9</v>
      </c>
      <c r="AA3" s="47">
        <v>21</v>
      </c>
      <c r="AB3" s="70">
        <v>0.7</v>
      </c>
      <c r="AC3" s="47" t="s">
        <v>446</v>
      </c>
      <c r="AD3" s="71">
        <v>11</v>
      </c>
      <c r="AE3" s="71">
        <v>8</v>
      </c>
      <c r="AF3" s="69"/>
      <c r="AG3" s="72"/>
      <c r="AH3" s="52">
        <v>11</v>
      </c>
      <c r="AI3" s="52">
        <v>8</v>
      </c>
      <c r="AJ3" s="52">
        <v>19</v>
      </c>
      <c r="AK3" s="88">
        <v>0.63329999999999997</v>
      </c>
      <c r="AL3" s="70">
        <v>0.7</v>
      </c>
      <c r="AM3" s="88">
        <v>0.63329999999999997</v>
      </c>
      <c r="AN3" s="52">
        <v>14</v>
      </c>
      <c r="AO3" s="52">
        <v>18</v>
      </c>
      <c r="AP3" s="52" t="s">
        <v>446</v>
      </c>
      <c r="AQ3" s="52">
        <v>4.5</v>
      </c>
      <c r="AR3" s="52">
        <v>5</v>
      </c>
      <c r="AS3" s="52">
        <v>5</v>
      </c>
      <c r="AT3" s="52">
        <v>5</v>
      </c>
      <c r="AU3" s="52">
        <v>19.5</v>
      </c>
      <c r="AV3" s="89">
        <f t="shared" ref="AV3:AV66" si="0">SUM(AQ3:AT3)</f>
        <v>19.5</v>
      </c>
      <c r="AW3" s="20" t="s">
        <v>446</v>
      </c>
      <c r="AX3" s="82">
        <v>19.5</v>
      </c>
      <c r="AZ3" s="20">
        <v>11.1</v>
      </c>
      <c r="BA3" s="22">
        <v>42956</v>
      </c>
      <c r="BB3" s="23" t="s">
        <v>236</v>
      </c>
      <c r="BC3" s="22" t="s">
        <v>6</v>
      </c>
      <c r="BE3" s="62" t="s">
        <v>446</v>
      </c>
      <c r="BF3" s="62">
        <v>5</v>
      </c>
      <c r="BG3" s="62">
        <v>5</v>
      </c>
      <c r="BH3" s="62">
        <v>5</v>
      </c>
      <c r="BI3" s="62">
        <v>4.5</v>
      </c>
      <c r="BJ3" s="62">
        <v>19.5</v>
      </c>
      <c r="BK3" s="90">
        <f t="shared" ref="BK3:BK66" si="1">SUM(BF3:BI3)</f>
        <v>19.5</v>
      </c>
      <c r="BL3" s="83">
        <v>19.5</v>
      </c>
      <c r="BM3" s="52" t="s">
        <v>592</v>
      </c>
      <c r="BN3" s="52" t="s">
        <v>592</v>
      </c>
      <c r="BO3" s="99">
        <v>12</v>
      </c>
      <c r="BP3" s="99">
        <v>0</v>
      </c>
      <c r="CD3" s="51" t="s">
        <v>493</v>
      </c>
      <c r="CE3" s="47" t="s">
        <v>446</v>
      </c>
      <c r="CF3" s="70">
        <v>0.7</v>
      </c>
      <c r="CG3" s="70">
        <v>0.63329999999999997</v>
      </c>
      <c r="CH3" s="47" t="s">
        <v>571</v>
      </c>
      <c r="CK3" s="52" t="s">
        <v>624</v>
      </c>
      <c r="CM3" s="84" t="s">
        <v>593</v>
      </c>
    </row>
    <row r="4" spans="1:9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0">
        <v>11.1</v>
      </c>
      <c r="G4" s="22">
        <v>42974</v>
      </c>
      <c r="H4" s="20">
        <v>11.1</v>
      </c>
      <c r="I4" s="23" t="s">
        <v>238</v>
      </c>
      <c r="J4" s="116">
        <v>0.86699999999999999</v>
      </c>
      <c r="K4" s="114">
        <v>0.76670000000000005</v>
      </c>
      <c r="L4" s="114"/>
      <c r="M4" s="114"/>
      <c r="N4" s="114"/>
      <c r="O4" s="114"/>
      <c r="P4" s="114"/>
      <c r="Q4" s="114"/>
      <c r="R4" s="81">
        <v>17</v>
      </c>
      <c r="S4" s="81">
        <v>17</v>
      </c>
      <c r="T4" s="82">
        <v>19.5</v>
      </c>
      <c r="U4" s="83">
        <v>19.5</v>
      </c>
      <c r="V4" s="23" t="s">
        <v>239</v>
      </c>
      <c r="W4" s="22" t="s">
        <v>9</v>
      </c>
      <c r="X4" s="23" t="s">
        <v>9</v>
      </c>
      <c r="Y4" s="23" t="s">
        <v>447</v>
      </c>
      <c r="Z4" s="23">
        <v>-4</v>
      </c>
      <c r="AA4" s="47">
        <v>26</v>
      </c>
      <c r="AB4" s="70">
        <v>0.86699999999999999</v>
      </c>
      <c r="AC4" s="47" t="s">
        <v>447</v>
      </c>
      <c r="AD4" s="71">
        <v>16</v>
      </c>
      <c r="AE4" s="71">
        <v>7</v>
      </c>
      <c r="AF4" s="69"/>
      <c r="AG4" s="72"/>
      <c r="AH4" s="52">
        <v>16</v>
      </c>
      <c r="AI4" s="52">
        <v>7</v>
      </c>
      <c r="AJ4" s="52">
        <v>23</v>
      </c>
      <c r="AK4" s="88">
        <v>0.76670000000000005</v>
      </c>
      <c r="AL4" s="70">
        <v>0.86699999999999999</v>
      </c>
      <c r="AM4" s="88">
        <v>0.76670000000000005</v>
      </c>
      <c r="AN4" s="52">
        <v>17</v>
      </c>
      <c r="AO4" s="52">
        <v>17</v>
      </c>
      <c r="AP4" s="52" t="s">
        <v>447</v>
      </c>
      <c r="AQ4" s="52">
        <v>4.5</v>
      </c>
      <c r="AR4" s="52">
        <v>5</v>
      </c>
      <c r="AS4" s="52">
        <v>5</v>
      </c>
      <c r="AT4" s="52">
        <v>5</v>
      </c>
      <c r="AU4" s="52">
        <v>19.5</v>
      </c>
      <c r="AV4" s="89">
        <f t="shared" si="0"/>
        <v>19.5</v>
      </c>
      <c r="AW4" s="23" t="s">
        <v>447</v>
      </c>
      <c r="AX4" s="82">
        <v>19.5</v>
      </c>
      <c r="AZ4" s="20">
        <v>11.1</v>
      </c>
      <c r="BA4" s="22">
        <v>42974</v>
      </c>
      <c r="BB4" s="23" t="s">
        <v>238</v>
      </c>
      <c r="BC4" s="22" t="s">
        <v>9</v>
      </c>
      <c r="BE4" s="62" t="s">
        <v>447</v>
      </c>
      <c r="BF4" s="62">
        <v>5</v>
      </c>
      <c r="BG4" s="62">
        <v>5</v>
      </c>
      <c r="BH4" s="62">
        <v>5</v>
      </c>
      <c r="BI4" s="62">
        <v>4.5</v>
      </c>
      <c r="BJ4" s="62">
        <v>19.5</v>
      </c>
      <c r="BK4" s="90">
        <f t="shared" si="1"/>
        <v>19.5</v>
      </c>
      <c r="BL4" s="83">
        <v>19.5</v>
      </c>
      <c r="BM4" s="52" t="s">
        <v>592</v>
      </c>
      <c r="BN4" s="52" t="s">
        <v>593</v>
      </c>
      <c r="BO4" s="99">
        <v>21</v>
      </c>
      <c r="BP4" s="99">
        <v>0</v>
      </c>
      <c r="CD4" s="51" t="s">
        <v>494</v>
      </c>
      <c r="CE4" s="47" t="s">
        <v>447</v>
      </c>
      <c r="CF4" s="70">
        <v>0.86699999999999999</v>
      </c>
      <c r="CG4" s="70">
        <v>0.76670000000000005</v>
      </c>
      <c r="CH4" s="47" t="s">
        <v>572</v>
      </c>
      <c r="CK4" s="52" t="s">
        <v>624</v>
      </c>
      <c r="CM4" s="84" t="s">
        <v>594</v>
      </c>
    </row>
    <row r="5" spans="1:9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0">
        <v>11.1</v>
      </c>
      <c r="G5" s="22">
        <v>42978</v>
      </c>
      <c r="H5" s="20">
        <v>11.1</v>
      </c>
      <c r="I5" s="23" t="s">
        <v>240</v>
      </c>
      <c r="J5" s="116">
        <v>1</v>
      </c>
      <c r="K5" s="114">
        <v>1</v>
      </c>
      <c r="L5" s="114"/>
      <c r="M5" s="114"/>
      <c r="N5" s="114"/>
      <c r="O5" s="114"/>
      <c r="P5" s="114"/>
      <c r="Q5" s="114"/>
      <c r="R5" s="81">
        <v>20</v>
      </c>
      <c r="S5" s="81">
        <v>20</v>
      </c>
      <c r="T5" s="82">
        <v>20</v>
      </c>
      <c r="U5" s="83">
        <v>20</v>
      </c>
      <c r="V5" s="23" t="s">
        <v>241</v>
      </c>
      <c r="W5" s="19" t="s">
        <v>348</v>
      </c>
      <c r="X5" s="20" t="s">
        <v>402</v>
      </c>
      <c r="Y5" s="20" t="s">
        <v>448</v>
      </c>
      <c r="Z5" s="23">
        <v>30</v>
      </c>
      <c r="AA5" s="47">
        <v>30</v>
      </c>
      <c r="AB5" s="70">
        <v>1</v>
      </c>
      <c r="AC5" s="47" t="s">
        <v>448</v>
      </c>
      <c r="AD5" s="71">
        <v>20</v>
      </c>
      <c r="AE5" s="71">
        <v>10</v>
      </c>
      <c r="AF5" s="69"/>
      <c r="AG5" s="72"/>
      <c r="AH5" s="52">
        <v>20</v>
      </c>
      <c r="AI5" s="52">
        <v>10</v>
      </c>
      <c r="AJ5" s="52">
        <v>30</v>
      </c>
      <c r="AK5" s="91">
        <v>1</v>
      </c>
      <c r="AL5" s="70">
        <v>1</v>
      </c>
      <c r="AM5" s="91">
        <v>1</v>
      </c>
      <c r="AN5" s="92">
        <v>20</v>
      </c>
      <c r="AO5" s="52">
        <v>20</v>
      </c>
      <c r="AP5" s="52" t="s">
        <v>448</v>
      </c>
      <c r="AQ5" s="52">
        <v>5</v>
      </c>
      <c r="AR5" s="52">
        <v>5</v>
      </c>
      <c r="AS5" s="52">
        <v>5</v>
      </c>
      <c r="AT5" s="52">
        <v>5</v>
      </c>
      <c r="AU5" s="52">
        <v>20</v>
      </c>
      <c r="AV5" s="89">
        <f t="shared" si="0"/>
        <v>20</v>
      </c>
      <c r="AW5" s="20" t="s">
        <v>448</v>
      </c>
      <c r="AX5" s="82">
        <v>20</v>
      </c>
      <c r="AZ5" s="20">
        <v>11.1</v>
      </c>
      <c r="BA5" s="22">
        <v>42978</v>
      </c>
      <c r="BB5" s="23" t="s">
        <v>240</v>
      </c>
      <c r="BC5" s="19" t="s">
        <v>348</v>
      </c>
      <c r="BE5" s="62" t="s">
        <v>448</v>
      </c>
      <c r="BF5" s="62">
        <v>5</v>
      </c>
      <c r="BG5" s="62">
        <v>5</v>
      </c>
      <c r="BH5" s="62">
        <v>5</v>
      </c>
      <c r="BI5" s="62">
        <v>5</v>
      </c>
      <c r="BJ5" s="62">
        <v>20</v>
      </c>
      <c r="BK5" s="90">
        <f t="shared" si="1"/>
        <v>20</v>
      </c>
      <c r="BL5" s="83">
        <v>20</v>
      </c>
      <c r="BM5" s="52" t="s">
        <v>591</v>
      </c>
      <c r="BN5" s="52" t="s">
        <v>594</v>
      </c>
      <c r="BO5" s="99">
        <v>26</v>
      </c>
      <c r="BP5" s="99">
        <v>0</v>
      </c>
      <c r="CD5" s="51" t="s">
        <v>495</v>
      </c>
      <c r="CE5" s="47" t="s">
        <v>448</v>
      </c>
      <c r="CF5" s="70">
        <v>1</v>
      </c>
      <c r="CG5" s="70">
        <v>1</v>
      </c>
      <c r="CH5" s="47" t="s">
        <v>573</v>
      </c>
      <c r="CK5" s="52" t="s">
        <v>591</v>
      </c>
      <c r="CM5" s="84" t="s">
        <v>595</v>
      </c>
    </row>
    <row r="6" spans="1:91" s="57" customFormat="1" ht="17" customHeight="1">
      <c r="A6" s="54">
        <v>6</v>
      </c>
      <c r="B6" s="54"/>
      <c r="C6" s="54"/>
      <c r="D6" s="55"/>
      <c r="E6" s="55" t="s">
        <v>411</v>
      </c>
      <c r="F6" s="54">
        <v>0</v>
      </c>
      <c r="G6" s="55">
        <v>55555</v>
      </c>
      <c r="H6" s="54">
        <v>0</v>
      </c>
      <c r="I6" s="54" t="s">
        <v>412</v>
      </c>
      <c r="J6" s="117"/>
      <c r="K6" s="113"/>
      <c r="L6" s="113"/>
      <c r="M6" s="113"/>
      <c r="N6" s="113"/>
      <c r="O6" s="113"/>
      <c r="P6" s="113"/>
      <c r="Q6" s="113"/>
      <c r="R6" s="81"/>
      <c r="S6" s="81"/>
      <c r="V6" s="54" t="s">
        <v>416</v>
      </c>
      <c r="W6" s="55"/>
      <c r="X6" s="54"/>
      <c r="Y6" s="54" t="s">
        <v>449</v>
      </c>
      <c r="Z6" s="54"/>
      <c r="AA6" s="73"/>
      <c r="AB6" s="73"/>
      <c r="AC6" s="73" t="s">
        <v>449</v>
      </c>
      <c r="AD6" s="73"/>
      <c r="AE6" s="73"/>
      <c r="AF6" s="54"/>
      <c r="AG6" s="73"/>
      <c r="AL6" s="73"/>
      <c r="AP6" s="57" t="s">
        <v>449</v>
      </c>
      <c r="AV6" s="93">
        <f t="shared" si="0"/>
        <v>0</v>
      </c>
      <c r="AW6" s="54" t="s">
        <v>449</v>
      </c>
      <c r="AZ6" s="54">
        <v>0</v>
      </c>
      <c r="BA6" s="55">
        <v>55555</v>
      </c>
      <c r="BB6" s="54" t="s">
        <v>412</v>
      </c>
      <c r="BC6" s="55"/>
      <c r="BE6" s="94" t="s">
        <v>449</v>
      </c>
      <c r="BK6" s="93">
        <f t="shared" si="1"/>
        <v>0</v>
      </c>
      <c r="BM6" s="57" t="s">
        <v>591</v>
      </c>
      <c r="BN6" s="57" t="s">
        <v>595</v>
      </c>
      <c r="BO6" s="99"/>
      <c r="BP6" s="99">
        <v>0</v>
      </c>
      <c r="CD6" s="56" t="s">
        <v>496</v>
      </c>
      <c r="CE6" s="73" t="s">
        <v>449</v>
      </c>
      <c r="CK6" s="57" t="s">
        <v>591</v>
      </c>
    </row>
    <row r="7" spans="1:91" ht="17" customHeight="1">
      <c r="A7" s="23">
        <v>7</v>
      </c>
      <c r="B7" s="23" t="s">
        <v>203</v>
      </c>
      <c r="C7" s="20">
        <v>11.1</v>
      </c>
      <c r="D7" s="22">
        <v>5</v>
      </c>
      <c r="E7" s="22" t="s">
        <v>422</v>
      </c>
      <c r="F7" s="20">
        <v>11.1</v>
      </c>
      <c r="G7" s="22">
        <v>42979</v>
      </c>
      <c r="H7" s="20">
        <v>11.1</v>
      </c>
      <c r="I7" s="23" t="s">
        <v>242</v>
      </c>
      <c r="J7" s="116">
        <v>0.76700000000000002</v>
      </c>
      <c r="K7" s="114">
        <v>0.5333</v>
      </c>
      <c r="L7" s="114"/>
      <c r="M7" s="114"/>
      <c r="N7" s="114"/>
      <c r="O7" s="114"/>
      <c r="P7" s="114"/>
      <c r="Q7" s="114"/>
      <c r="R7" s="81">
        <v>18</v>
      </c>
      <c r="S7" s="81">
        <v>18</v>
      </c>
      <c r="T7" s="82">
        <v>19.5</v>
      </c>
      <c r="U7" s="83">
        <v>19.5</v>
      </c>
      <c r="V7" s="23" t="s">
        <v>243</v>
      </c>
      <c r="W7" s="22" t="s">
        <v>14</v>
      </c>
      <c r="X7" s="23" t="s">
        <v>368</v>
      </c>
      <c r="Y7" s="23" t="s">
        <v>450</v>
      </c>
      <c r="Z7" s="23">
        <v>-7</v>
      </c>
      <c r="AA7" s="47">
        <v>23</v>
      </c>
      <c r="AB7" s="70">
        <v>0.76700000000000002</v>
      </c>
      <c r="AC7" s="47" t="s">
        <v>450</v>
      </c>
      <c r="AD7" s="71">
        <v>10</v>
      </c>
      <c r="AE7" s="71">
        <v>6</v>
      </c>
      <c r="AF7" s="69"/>
      <c r="AG7" s="72"/>
      <c r="AH7" s="52">
        <v>10</v>
      </c>
      <c r="AI7" s="52">
        <v>6</v>
      </c>
      <c r="AJ7" s="52">
        <v>16</v>
      </c>
      <c r="AK7" s="88">
        <v>0.5333</v>
      </c>
      <c r="AL7" s="70">
        <v>0.76700000000000002</v>
      </c>
      <c r="AM7" s="88">
        <v>0.5333</v>
      </c>
      <c r="AN7" s="52">
        <v>18</v>
      </c>
      <c r="AO7" s="52">
        <v>18</v>
      </c>
      <c r="AP7" s="52" t="s">
        <v>450</v>
      </c>
      <c r="AQ7" s="52">
        <v>4.5</v>
      </c>
      <c r="AR7" s="52">
        <v>5</v>
      </c>
      <c r="AS7" s="52">
        <v>5</v>
      </c>
      <c r="AT7" s="52">
        <v>5</v>
      </c>
      <c r="AU7" s="52">
        <v>19.5</v>
      </c>
      <c r="AV7" s="89">
        <f t="shared" si="0"/>
        <v>19.5</v>
      </c>
      <c r="AW7" s="23" t="s">
        <v>450</v>
      </c>
      <c r="AX7" s="82">
        <v>19.5</v>
      </c>
      <c r="AZ7" s="20">
        <v>11.1</v>
      </c>
      <c r="BA7" s="22">
        <v>42979</v>
      </c>
      <c r="BB7" s="23" t="s">
        <v>242</v>
      </c>
      <c r="BC7" s="22" t="s">
        <v>14</v>
      </c>
      <c r="BE7" s="62" t="s">
        <v>450</v>
      </c>
      <c r="BF7" s="62">
        <v>5</v>
      </c>
      <c r="BG7" s="62">
        <v>5</v>
      </c>
      <c r="BH7" s="62">
        <v>5</v>
      </c>
      <c r="BI7" s="62">
        <v>4.5</v>
      </c>
      <c r="BJ7" s="62">
        <v>19.5</v>
      </c>
      <c r="BK7" s="90">
        <f t="shared" si="1"/>
        <v>19.5</v>
      </c>
      <c r="BL7" s="83">
        <v>19.5</v>
      </c>
      <c r="BM7" s="52" t="s">
        <v>593</v>
      </c>
      <c r="BO7" s="99">
        <v>10</v>
      </c>
      <c r="BP7" s="99">
        <v>0</v>
      </c>
      <c r="CD7" s="51" t="s">
        <v>497</v>
      </c>
      <c r="CE7" s="47" t="s">
        <v>450</v>
      </c>
      <c r="CF7" s="70">
        <v>0.76700000000000002</v>
      </c>
      <c r="CG7" s="70">
        <v>0.5333</v>
      </c>
      <c r="CH7" s="47" t="s">
        <v>574</v>
      </c>
      <c r="CK7" s="52" t="s">
        <v>625</v>
      </c>
    </row>
    <row r="8" spans="1:91" ht="17" customHeight="1">
      <c r="A8" s="23">
        <v>8</v>
      </c>
      <c r="B8" s="23" t="s">
        <v>203</v>
      </c>
      <c r="C8" s="20">
        <v>11.1</v>
      </c>
      <c r="D8" s="22">
        <v>6</v>
      </c>
      <c r="E8" s="22" t="s">
        <v>423</v>
      </c>
      <c r="F8" s="20">
        <v>11.1</v>
      </c>
      <c r="G8" s="22">
        <v>42995</v>
      </c>
      <c r="H8" s="20">
        <v>11.1</v>
      </c>
      <c r="I8" s="23" t="s">
        <v>244</v>
      </c>
      <c r="J8" s="116">
        <v>1</v>
      </c>
      <c r="K8" s="114">
        <v>0.9667</v>
      </c>
      <c r="L8" s="114"/>
      <c r="M8" s="114"/>
      <c r="N8" s="114"/>
      <c r="O8" s="114"/>
      <c r="P8" s="114"/>
      <c r="Q8" s="114"/>
      <c r="R8" s="81">
        <v>19</v>
      </c>
      <c r="S8" s="81">
        <v>19</v>
      </c>
      <c r="T8" s="82">
        <v>20</v>
      </c>
      <c r="U8" s="83">
        <v>20</v>
      </c>
      <c r="V8" s="23" t="s">
        <v>245</v>
      </c>
      <c r="W8" s="22" t="s">
        <v>17</v>
      </c>
      <c r="X8" s="23" t="s">
        <v>17</v>
      </c>
      <c r="Y8" s="23" t="s">
        <v>442</v>
      </c>
      <c r="Z8" s="23">
        <v>30</v>
      </c>
      <c r="AA8" s="47">
        <v>30</v>
      </c>
      <c r="AB8" s="70">
        <v>1</v>
      </c>
      <c r="AC8" s="47" t="s">
        <v>442</v>
      </c>
      <c r="AD8" s="71">
        <v>20</v>
      </c>
      <c r="AE8" s="71">
        <v>9</v>
      </c>
      <c r="AF8" s="69"/>
      <c r="AG8" s="72"/>
      <c r="AH8" s="52">
        <v>20</v>
      </c>
      <c r="AI8" s="52">
        <v>9</v>
      </c>
      <c r="AJ8" s="52">
        <v>29</v>
      </c>
      <c r="AK8" s="95">
        <v>0.9667</v>
      </c>
      <c r="AL8" s="70">
        <v>1</v>
      </c>
      <c r="AM8" s="95">
        <v>0.9667</v>
      </c>
      <c r="AN8" s="52">
        <v>19</v>
      </c>
      <c r="AO8" s="52">
        <v>19</v>
      </c>
      <c r="AP8" s="52" t="s">
        <v>442</v>
      </c>
      <c r="AQ8" s="52">
        <v>5</v>
      </c>
      <c r="AR8" s="52">
        <v>5</v>
      </c>
      <c r="AS8" s="52">
        <v>5</v>
      </c>
      <c r="AT8" s="52">
        <v>5</v>
      </c>
      <c r="AU8" s="52">
        <v>20</v>
      </c>
      <c r="AV8" s="89">
        <f t="shared" si="0"/>
        <v>20</v>
      </c>
      <c r="AW8" s="23" t="s">
        <v>442</v>
      </c>
      <c r="AX8" s="82">
        <v>20</v>
      </c>
      <c r="AZ8" s="20">
        <v>11.1</v>
      </c>
      <c r="BA8" s="22">
        <v>42995</v>
      </c>
      <c r="BB8" s="23" t="s">
        <v>244</v>
      </c>
      <c r="BC8" s="22" t="s">
        <v>17</v>
      </c>
      <c r="BE8" s="62" t="s">
        <v>442</v>
      </c>
      <c r="BF8" s="62">
        <v>5</v>
      </c>
      <c r="BG8" s="62">
        <v>5</v>
      </c>
      <c r="BH8" s="62">
        <v>5</v>
      </c>
      <c r="BI8" s="62">
        <v>5</v>
      </c>
      <c r="BJ8" s="62">
        <v>20</v>
      </c>
      <c r="BK8" s="90">
        <f t="shared" si="1"/>
        <v>20</v>
      </c>
      <c r="BL8" s="83">
        <v>20</v>
      </c>
      <c r="BM8" s="52" t="s">
        <v>591</v>
      </c>
      <c r="BO8" s="99">
        <v>30</v>
      </c>
      <c r="BP8" s="99">
        <v>0</v>
      </c>
      <c r="CD8" s="51" t="s">
        <v>498</v>
      </c>
      <c r="CE8" s="47" t="s">
        <v>442</v>
      </c>
      <c r="CF8" s="70">
        <v>1</v>
      </c>
      <c r="CG8" s="70">
        <v>0.9667</v>
      </c>
      <c r="CH8" s="47" t="s">
        <v>575</v>
      </c>
      <c r="CK8" s="52" t="s">
        <v>591</v>
      </c>
    </row>
    <row r="9" spans="1:91" ht="17" customHeight="1">
      <c r="A9" s="23">
        <v>9</v>
      </c>
      <c r="B9" s="23" t="s">
        <v>204</v>
      </c>
      <c r="C9" s="20">
        <v>11.1</v>
      </c>
      <c r="D9" s="22">
        <v>7</v>
      </c>
      <c r="E9" s="22" t="s">
        <v>424</v>
      </c>
      <c r="F9" s="20">
        <v>11.1</v>
      </c>
      <c r="G9" s="22">
        <v>43015</v>
      </c>
      <c r="H9" s="20">
        <v>11.1</v>
      </c>
      <c r="I9" s="23" t="s">
        <v>246</v>
      </c>
      <c r="J9" s="116">
        <v>0.93300000000000005</v>
      </c>
      <c r="K9" s="114">
        <v>0.93330000000000002</v>
      </c>
      <c r="L9" s="114"/>
      <c r="M9" s="114"/>
      <c r="N9" s="114"/>
      <c r="O9" s="114"/>
      <c r="P9" s="114"/>
      <c r="Q9" s="114"/>
      <c r="R9" s="81">
        <v>20</v>
      </c>
      <c r="S9" s="81">
        <v>18</v>
      </c>
      <c r="T9" s="82">
        <v>20</v>
      </c>
      <c r="U9" s="83">
        <v>20</v>
      </c>
      <c r="V9" s="23" t="s">
        <v>247</v>
      </c>
      <c r="W9" s="22" t="s">
        <v>20</v>
      </c>
      <c r="X9" s="23" t="s">
        <v>369</v>
      </c>
      <c r="Y9" s="23" t="s">
        <v>441</v>
      </c>
      <c r="Z9" s="23">
        <v>-2</v>
      </c>
      <c r="AA9" s="47">
        <v>28</v>
      </c>
      <c r="AB9" s="70">
        <v>0.93300000000000005</v>
      </c>
      <c r="AC9" s="47" t="s">
        <v>441</v>
      </c>
      <c r="AD9" s="71">
        <v>19</v>
      </c>
      <c r="AE9" s="71">
        <v>9</v>
      </c>
      <c r="AF9" s="69"/>
      <c r="AG9" s="72"/>
      <c r="AH9" s="52">
        <v>19</v>
      </c>
      <c r="AI9" s="52">
        <v>9</v>
      </c>
      <c r="AJ9" s="52">
        <v>28</v>
      </c>
      <c r="AK9" s="91">
        <v>0.93330000000000002</v>
      </c>
      <c r="AL9" s="70">
        <v>0.93300000000000005</v>
      </c>
      <c r="AM9" s="91">
        <v>0.93330000000000002</v>
      </c>
      <c r="AN9" s="52">
        <v>20</v>
      </c>
      <c r="AO9" s="52">
        <v>18</v>
      </c>
      <c r="AP9" s="52" t="s">
        <v>441</v>
      </c>
      <c r="AQ9" s="52">
        <v>5</v>
      </c>
      <c r="AR9" s="52">
        <v>5</v>
      </c>
      <c r="AS9" s="52">
        <v>5</v>
      </c>
      <c r="AT9" s="52">
        <v>5</v>
      </c>
      <c r="AU9" s="52">
        <v>20</v>
      </c>
      <c r="AV9" s="89">
        <f t="shared" si="0"/>
        <v>20</v>
      </c>
      <c r="AW9" s="23" t="s">
        <v>441</v>
      </c>
      <c r="AX9" s="82">
        <v>20</v>
      </c>
      <c r="AZ9" s="20">
        <v>11.1</v>
      </c>
      <c r="BA9" s="22">
        <v>43015</v>
      </c>
      <c r="BB9" s="23" t="s">
        <v>246</v>
      </c>
      <c r="BC9" s="22" t="s">
        <v>20</v>
      </c>
      <c r="BE9" s="62" t="s">
        <v>441</v>
      </c>
      <c r="BF9" s="62">
        <v>5</v>
      </c>
      <c r="BG9" s="62">
        <v>5</v>
      </c>
      <c r="BH9" s="62">
        <v>5</v>
      </c>
      <c r="BI9" s="62">
        <v>5</v>
      </c>
      <c r="BJ9" s="62">
        <v>20</v>
      </c>
      <c r="BK9" s="90">
        <f t="shared" si="1"/>
        <v>20</v>
      </c>
      <c r="BL9" s="83">
        <v>20</v>
      </c>
      <c r="BM9" s="52" t="s">
        <v>591</v>
      </c>
      <c r="BO9" s="99">
        <v>27</v>
      </c>
      <c r="BP9" s="99">
        <v>0</v>
      </c>
      <c r="CD9" s="51" t="s">
        <v>499</v>
      </c>
      <c r="CE9" s="47" t="s">
        <v>441</v>
      </c>
      <c r="CF9" s="70">
        <v>0.93300000000000005</v>
      </c>
      <c r="CG9" s="70">
        <v>0.93330000000000002</v>
      </c>
      <c r="CH9" s="47" t="s">
        <v>576</v>
      </c>
      <c r="CK9" s="52" t="s">
        <v>591</v>
      </c>
    </row>
    <row r="10" spans="1:91" ht="17" customHeight="1">
      <c r="A10" s="23">
        <v>10</v>
      </c>
      <c r="B10" s="23" t="s">
        <v>204</v>
      </c>
      <c r="C10" s="20">
        <v>11.1</v>
      </c>
      <c r="D10" s="22">
        <v>8</v>
      </c>
      <c r="E10" s="22" t="s">
        <v>425</v>
      </c>
      <c r="F10" s="20">
        <v>11.1</v>
      </c>
      <c r="G10" s="22">
        <v>43017</v>
      </c>
      <c r="H10" s="20">
        <v>11.1</v>
      </c>
      <c r="I10" s="23" t="s">
        <v>248</v>
      </c>
      <c r="J10" s="120">
        <v>17</v>
      </c>
      <c r="K10" s="114">
        <v>0.66669999999999996</v>
      </c>
      <c r="L10" s="114"/>
      <c r="M10" s="114"/>
      <c r="N10" s="114"/>
      <c r="O10" s="114"/>
      <c r="P10" s="114"/>
      <c r="Q10" s="114"/>
      <c r="R10" s="81">
        <v>19</v>
      </c>
      <c r="S10" s="81">
        <v>18</v>
      </c>
      <c r="T10" s="82">
        <v>19.5</v>
      </c>
      <c r="U10" s="83">
        <v>19.5</v>
      </c>
      <c r="V10" s="23" t="s">
        <v>249</v>
      </c>
      <c r="W10" s="22" t="s">
        <v>22</v>
      </c>
      <c r="X10" s="23" t="s">
        <v>22</v>
      </c>
      <c r="Y10" s="23" t="s">
        <v>439</v>
      </c>
      <c r="Z10" s="36" t="s">
        <v>233</v>
      </c>
      <c r="AC10" s="47" t="s">
        <v>439</v>
      </c>
      <c r="AD10" s="71">
        <v>13</v>
      </c>
      <c r="AE10" s="71">
        <v>7</v>
      </c>
      <c r="AF10" s="69"/>
      <c r="AH10" s="52">
        <v>13</v>
      </c>
      <c r="AI10" s="52">
        <v>7</v>
      </c>
      <c r="AJ10" s="52">
        <v>20</v>
      </c>
      <c r="AK10" s="96">
        <v>0.66669999999999996</v>
      </c>
      <c r="AM10" s="96">
        <v>0.66669999999999996</v>
      </c>
      <c r="AN10" s="52">
        <v>19</v>
      </c>
      <c r="AO10" s="52">
        <v>18</v>
      </c>
      <c r="AP10" s="52" t="s">
        <v>439</v>
      </c>
      <c r="AQ10" s="52">
        <v>4.5</v>
      </c>
      <c r="AR10" s="52">
        <v>5</v>
      </c>
      <c r="AS10" s="52">
        <v>5</v>
      </c>
      <c r="AT10" s="52">
        <v>5</v>
      </c>
      <c r="AU10" s="52">
        <v>19.5</v>
      </c>
      <c r="AV10" s="89">
        <f t="shared" si="0"/>
        <v>19.5</v>
      </c>
      <c r="AW10" s="23" t="s">
        <v>439</v>
      </c>
      <c r="AX10" s="82">
        <v>19.5</v>
      </c>
      <c r="AZ10" s="20">
        <v>11.1</v>
      </c>
      <c r="BA10" s="22">
        <v>43017</v>
      </c>
      <c r="BB10" s="23" t="s">
        <v>248</v>
      </c>
      <c r="BC10" s="22" t="s">
        <v>22</v>
      </c>
      <c r="BE10" s="62" t="s">
        <v>439</v>
      </c>
      <c r="BF10" s="62">
        <v>5</v>
      </c>
      <c r="BG10" s="62">
        <v>5</v>
      </c>
      <c r="BH10" s="62">
        <v>5</v>
      </c>
      <c r="BI10" s="62">
        <v>4.5</v>
      </c>
      <c r="BJ10" s="62">
        <v>19.5</v>
      </c>
      <c r="BK10" s="90">
        <f t="shared" si="1"/>
        <v>19.5</v>
      </c>
      <c r="BL10" s="83">
        <v>19.5</v>
      </c>
      <c r="BM10" s="52" t="s">
        <v>591</v>
      </c>
      <c r="BO10" s="99">
        <v>18</v>
      </c>
      <c r="BP10" s="99">
        <v>0</v>
      </c>
      <c r="CD10" s="51" t="s">
        <v>500</v>
      </c>
      <c r="CE10" s="47" t="s">
        <v>439</v>
      </c>
      <c r="CG10" s="70">
        <v>0.66669999999999996</v>
      </c>
      <c r="CH10" s="47" t="s">
        <v>577</v>
      </c>
      <c r="CK10" s="52" t="s">
        <v>591</v>
      </c>
    </row>
    <row r="11" spans="1:91" ht="17" customHeight="1">
      <c r="A11" s="23">
        <v>11</v>
      </c>
      <c r="B11" s="23" t="s">
        <v>204</v>
      </c>
      <c r="C11" s="20">
        <v>11.1</v>
      </c>
      <c r="D11" s="22">
        <v>9</v>
      </c>
      <c r="E11" s="22" t="s">
        <v>426</v>
      </c>
      <c r="F11" s="20">
        <v>11.1</v>
      </c>
      <c r="G11" s="22">
        <v>43150</v>
      </c>
      <c r="H11" s="20">
        <v>11.1</v>
      </c>
      <c r="I11" s="23" t="s">
        <v>250</v>
      </c>
      <c r="J11" s="116">
        <v>0.66700000000000004</v>
      </c>
      <c r="K11" s="114">
        <v>0.63329999999999997</v>
      </c>
      <c r="L11" s="114"/>
      <c r="M11" s="114"/>
      <c r="N11" s="114"/>
      <c r="O11" s="114"/>
      <c r="P11" s="114"/>
      <c r="Q11" s="114"/>
      <c r="R11" s="81">
        <v>16</v>
      </c>
      <c r="S11" s="81">
        <v>17</v>
      </c>
      <c r="T11" s="82">
        <v>19.5</v>
      </c>
      <c r="U11" s="83">
        <v>19.5</v>
      </c>
      <c r="V11" s="23" t="s">
        <v>251</v>
      </c>
      <c r="W11" s="22" t="s">
        <v>25</v>
      </c>
      <c r="X11" s="23" t="s">
        <v>367</v>
      </c>
      <c r="Y11" s="23" t="s">
        <v>451</v>
      </c>
      <c r="Z11" s="23">
        <v>-10</v>
      </c>
      <c r="AA11" s="47">
        <v>20</v>
      </c>
      <c r="AB11" s="70">
        <v>0.66700000000000004</v>
      </c>
      <c r="AC11" s="47" t="s">
        <v>451</v>
      </c>
      <c r="AD11" s="71">
        <v>14</v>
      </c>
      <c r="AE11" s="71">
        <v>5</v>
      </c>
      <c r="AF11" s="69"/>
      <c r="AG11" s="72"/>
      <c r="AH11" s="52">
        <v>14</v>
      </c>
      <c r="AI11" s="52">
        <v>5</v>
      </c>
      <c r="AJ11" s="52">
        <v>19</v>
      </c>
      <c r="AK11" s="88">
        <v>0.63329999999999997</v>
      </c>
      <c r="AL11" s="70">
        <v>0.66700000000000004</v>
      </c>
      <c r="AM11" s="88">
        <v>0.63329999999999997</v>
      </c>
      <c r="AN11" s="52">
        <v>16</v>
      </c>
      <c r="AO11" s="52">
        <v>17</v>
      </c>
      <c r="AP11" s="52" t="s">
        <v>451</v>
      </c>
      <c r="AQ11" s="52">
        <v>4.5</v>
      </c>
      <c r="AR11" s="52">
        <v>5</v>
      </c>
      <c r="AS11" s="52">
        <v>5</v>
      </c>
      <c r="AT11" s="52">
        <v>5</v>
      </c>
      <c r="AU11" s="52">
        <v>19.5</v>
      </c>
      <c r="AV11" s="89">
        <f t="shared" si="0"/>
        <v>19.5</v>
      </c>
      <c r="AW11" s="23" t="s">
        <v>451</v>
      </c>
      <c r="AX11" s="82">
        <v>19.5</v>
      </c>
      <c r="AZ11" s="20">
        <v>11.1</v>
      </c>
      <c r="BA11" s="22">
        <v>43150</v>
      </c>
      <c r="BB11" s="23" t="s">
        <v>250</v>
      </c>
      <c r="BC11" s="22" t="s">
        <v>25</v>
      </c>
      <c r="BE11" s="62" t="s">
        <v>451</v>
      </c>
      <c r="BF11" s="62">
        <v>5</v>
      </c>
      <c r="BG11" s="62">
        <v>5</v>
      </c>
      <c r="BH11" s="62">
        <v>5</v>
      </c>
      <c r="BI11" s="62">
        <v>4.5</v>
      </c>
      <c r="BJ11" s="62">
        <v>19.5</v>
      </c>
      <c r="BK11" s="90">
        <f t="shared" si="1"/>
        <v>19.5</v>
      </c>
      <c r="BL11" s="83">
        <v>19.5</v>
      </c>
      <c r="BM11" s="52" t="s">
        <v>593</v>
      </c>
      <c r="BO11" s="99">
        <v>21</v>
      </c>
      <c r="BP11" s="99">
        <v>0</v>
      </c>
      <c r="CD11" s="51" t="s">
        <v>501</v>
      </c>
      <c r="CE11" s="47" t="s">
        <v>451</v>
      </c>
      <c r="CF11" s="70">
        <v>0.66700000000000004</v>
      </c>
      <c r="CG11" s="70">
        <v>0.63329999999999997</v>
      </c>
      <c r="CH11" s="47" t="s">
        <v>571</v>
      </c>
      <c r="CK11" s="52" t="s">
        <v>625</v>
      </c>
    </row>
    <row r="12" spans="1:91" ht="17" customHeight="1">
      <c r="A12" s="23">
        <v>12</v>
      </c>
      <c r="B12" s="23" t="s">
        <v>204</v>
      </c>
      <c r="C12" s="20">
        <v>11.1</v>
      </c>
      <c r="D12" s="22">
        <v>10</v>
      </c>
      <c r="E12" s="22" t="s">
        <v>427</v>
      </c>
      <c r="F12" s="20">
        <v>11.1</v>
      </c>
      <c r="G12" s="22">
        <v>43163</v>
      </c>
      <c r="H12" s="20">
        <v>11.1</v>
      </c>
      <c r="I12" s="23" t="s">
        <v>252</v>
      </c>
      <c r="J12" s="116">
        <v>1</v>
      </c>
      <c r="K12" s="114">
        <v>1</v>
      </c>
      <c r="L12" s="114"/>
      <c r="M12" s="114"/>
      <c r="N12" s="114"/>
      <c r="O12" s="114"/>
      <c r="P12" s="114"/>
      <c r="Q12" s="114"/>
      <c r="R12" s="81">
        <v>20</v>
      </c>
      <c r="S12" s="81">
        <v>18</v>
      </c>
      <c r="T12" s="82">
        <v>20</v>
      </c>
      <c r="U12" s="83">
        <v>20</v>
      </c>
      <c r="V12" s="23" t="s">
        <v>253</v>
      </c>
      <c r="W12" s="22" t="s">
        <v>28</v>
      </c>
      <c r="X12" s="23" t="s">
        <v>28</v>
      </c>
      <c r="Y12" s="23" t="s">
        <v>443</v>
      </c>
      <c r="Z12" s="23">
        <v>30</v>
      </c>
      <c r="AA12" s="47">
        <v>30</v>
      </c>
      <c r="AB12" s="70">
        <v>1</v>
      </c>
      <c r="AC12" s="47" t="s">
        <v>443</v>
      </c>
      <c r="AD12" s="71">
        <v>20</v>
      </c>
      <c r="AE12" s="71">
        <v>10</v>
      </c>
      <c r="AF12" s="69"/>
      <c r="AG12" s="72"/>
      <c r="AH12" s="52">
        <v>20</v>
      </c>
      <c r="AI12" s="52">
        <v>10</v>
      </c>
      <c r="AJ12" s="52">
        <v>30</v>
      </c>
      <c r="AK12" s="91">
        <v>1</v>
      </c>
      <c r="AL12" s="70">
        <v>1</v>
      </c>
      <c r="AM12" s="91">
        <v>1</v>
      </c>
      <c r="AN12" s="52">
        <v>20</v>
      </c>
      <c r="AO12" s="52">
        <v>18</v>
      </c>
      <c r="AP12" s="52" t="s">
        <v>443</v>
      </c>
      <c r="AQ12" s="52">
        <v>5</v>
      </c>
      <c r="AR12" s="52">
        <v>5</v>
      </c>
      <c r="AS12" s="52">
        <v>5</v>
      </c>
      <c r="AT12" s="52">
        <v>5</v>
      </c>
      <c r="AU12" s="52">
        <v>20</v>
      </c>
      <c r="AV12" s="89">
        <f t="shared" si="0"/>
        <v>20</v>
      </c>
      <c r="AW12" s="23" t="s">
        <v>443</v>
      </c>
      <c r="AX12" s="82">
        <v>20</v>
      </c>
      <c r="AZ12" s="20">
        <v>11.1</v>
      </c>
      <c r="BA12" s="22">
        <v>43163</v>
      </c>
      <c r="BB12" s="23" t="s">
        <v>252</v>
      </c>
      <c r="BC12" s="22" t="s">
        <v>28</v>
      </c>
      <c r="BE12" s="62" t="s">
        <v>443</v>
      </c>
      <c r="BF12" s="62">
        <v>5</v>
      </c>
      <c r="BG12" s="62">
        <v>5</v>
      </c>
      <c r="BH12" s="62">
        <v>5</v>
      </c>
      <c r="BI12" s="62">
        <v>5</v>
      </c>
      <c r="BJ12" s="62">
        <v>20</v>
      </c>
      <c r="BK12" s="90">
        <f t="shared" si="1"/>
        <v>20</v>
      </c>
      <c r="BL12" s="83">
        <v>20</v>
      </c>
      <c r="BM12" s="52" t="s">
        <v>591</v>
      </c>
      <c r="BP12" s="99">
        <v>0</v>
      </c>
      <c r="CD12" s="51" t="s">
        <v>502</v>
      </c>
      <c r="CE12" s="47" t="s">
        <v>443</v>
      </c>
      <c r="CF12" s="70">
        <v>1</v>
      </c>
      <c r="CG12" s="70">
        <v>1</v>
      </c>
      <c r="CH12" s="47" t="s">
        <v>573</v>
      </c>
      <c r="CK12" s="52" t="s">
        <v>591</v>
      </c>
    </row>
    <row r="13" spans="1:91" ht="17" customHeight="1">
      <c r="A13" s="23">
        <v>13</v>
      </c>
      <c r="B13" s="23" t="s">
        <v>205</v>
      </c>
      <c r="C13" s="20">
        <v>11.1</v>
      </c>
      <c r="D13" s="22">
        <v>11</v>
      </c>
      <c r="E13" s="22" t="s">
        <v>428</v>
      </c>
      <c r="F13" s="20">
        <v>11.1</v>
      </c>
      <c r="G13" s="22">
        <v>43173</v>
      </c>
      <c r="H13" s="20">
        <v>11.1</v>
      </c>
      <c r="I13" s="23" t="s">
        <v>254</v>
      </c>
      <c r="J13" s="116">
        <v>0.96699999999999997</v>
      </c>
      <c r="K13" s="114">
        <v>1</v>
      </c>
      <c r="L13" s="114"/>
      <c r="M13" s="114"/>
      <c r="N13" s="114"/>
      <c r="O13" s="114"/>
      <c r="P13" s="114"/>
      <c r="Q13" s="114"/>
      <c r="R13" s="81">
        <v>20</v>
      </c>
      <c r="S13" s="81">
        <v>20</v>
      </c>
      <c r="T13" s="82">
        <v>20</v>
      </c>
      <c r="U13" s="83">
        <v>20</v>
      </c>
      <c r="V13" s="23" t="s">
        <v>255</v>
      </c>
      <c r="W13" s="22" t="s">
        <v>31</v>
      </c>
      <c r="X13" s="23" t="s">
        <v>371</v>
      </c>
      <c r="Y13" s="23" t="s">
        <v>452</v>
      </c>
      <c r="Z13" s="23">
        <v>-1</v>
      </c>
      <c r="AA13" s="47">
        <v>29</v>
      </c>
      <c r="AB13" s="70">
        <v>0.96699999999999997</v>
      </c>
      <c r="AC13" s="47" t="s">
        <v>452</v>
      </c>
      <c r="AD13" s="71">
        <v>20</v>
      </c>
      <c r="AE13" s="71">
        <v>10</v>
      </c>
      <c r="AF13" s="69"/>
      <c r="AG13" s="72"/>
      <c r="AH13" s="52">
        <v>20</v>
      </c>
      <c r="AI13" s="52">
        <v>10</v>
      </c>
      <c r="AJ13" s="52">
        <v>30</v>
      </c>
      <c r="AK13" s="91">
        <v>1</v>
      </c>
      <c r="AL13" s="70">
        <v>0.96699999999999997</v>
      </c>
      <c r="AM13" s="91">
        <v>1</v>
      </c>
      <c r="AN13" s="52">
        <v>20</v>
      </c>
      <c r="AO13" s="52">
        <v>20</v>
      </c>
      <c r="AP13" s="52" t="s">
        <v>452</v>
      </c>
      <c r="AQ13" s="52">
        <v>5</v>
      </c>
      <c r="AR13" s="52">
        <v>5</v>
      </c>
      <c r="AS13" s="52">
        <v>5</v>
      </c>
      <c r="AT13" s="52">
        <v>5</v>
      </c>
      <c r="AU13" s="52">
        <v>20</v>
      </c>
      <c r="AV13" s="89">
        <f t="shared" si="0"/>
        <v>20</v>
      </c>
      <c r="AW13" s="23" t="s">
        <v>452</v>
      </c>
      <c r="AX13" s="82">
        <v>20</v>
      </c>
      <c r="AZ13" s="20">
        <v>11.1</v>
      </c>
      <c r="BA13" s="22">
        <v>43173</v>
      </c>
      <c r="BB13" s="23" t="s">
        <v>254</v>
      </c>
      <c r="BC13" s="22" t="s">
        <v>31</v>
      </c>
      <c r="BE13" s="62" t="s">
        <v>452</v>
      </c>
      <c r="BF13" s="62">
        <v>5</v>
      </c>
      <c r="BG13" s="62">
        <v>5</v>
      </c>
      <c r="BH13" s="62">
        <v>5</v>
      </c>
      <c r="BI13" s="62">
        <v>5</v>
      </c>
      <c r="BJ13" s="62">
        <v>20</v>
      </c>
      <c r="BK13" s="90">
        <f t="shared" si="1"/>
        <v>20</v>
      </c>
      <c r="BL13" s="83">
        <v>20</v>
      </c>
      <c r="BM13" s="52" t="s">
        <v>591</v>
      </c>
      <c r="BO13" s="99">
        <v>29</v>
      </c>
      <c r="BP13" s="99">
        <v>0</v>
      </c>
      <c r="CD13" s="51" t="s">
        <v>503</v>
      </c>
      <c r="CE13" s="47" t="s">
        <v>452</v>
      </c>
      <c r="CF13" s="70">
        <v>0.96699999999999997</v>
      </c>
      <c r="CG13" s="70">
        <v>1</v>
      </c>
      <c r="CH13" s="47" t="s">
        <v>578</v>
      </c>
      <c r="CK13" s="52" t="s">
        <v>591</v>
      </c>
    </row>
    <row r="14" spans="1:91" ht="17" customHeight="1">
      <c r="A14" s="23">
        <v>14</v>
      </c>
      <c r="B14" s="23" t="s">
        <v>205</v>
      </c>
      <c r="C14" s="20">
        <v>11.1</v>
      </c>
      <c r="D14" s="22">
        <v>12</v>
      </c>
      <c r="E14" s="22" t="s">
        <v>429</v>
      </c>
      <c r="F14" s="20">
        <v>11.1</v>
      </c>
      <c r="G14" s="22">
        <v>43217</v>
      </c>
      <c r="H14" s="20">
        <v>11.1</v>
      </c>
      <c r="I14" s="23" t="s">
        <v>256</v>
      </c>
      <c r="J14" s="116">
        <v>1</v>
      </c>
      <c r="K14" s="114">
        <v>0.73329999999999995</v>
      </c>
      <c r="L14" s="114"/>
      <c r="M14" s="114"/>
      <c r="N14" s="114"/>
      <c r="O14" s="114"/>
      <c r="P14" s="114"/>
      <c r="Q14" s="114"/>
      <c r="R14" s="81">
        <v>19</v>
      </c>
      <c r="S14" s="81">
        <v>20</v>
      </c>
      <c r="T14" s="82">
        <v>20</v>
      </c>
      <c r="U14" s="83">
        <v>20</v>
      </c>
      <c r="V14" s="23" t="s">
        <v>257</v>
      </c>
      <c r="W14" s="22" t="s">
        <v>34</v>
      </c>
      <c r="X14" s="23" t="s">
        <v>372</v>
      </c>
      <c r="Y14" s="23" t="s">
        <v>453</v>
      </c>
      <c r="Z14" s="23">
        <v>30</v>
      </c>
      <c r="AA14" s="47">
        <v>30</v>
      </c>
      <c r="AB14" s="70">
        <v>1</v>
      </c>
      <c r="AC14" s="47" t="s">
        <v>453</v>
      </c>
      <c r="AD14" s="71">
        <v>14</v>
      </c>
      <c r="AE14" s="71">
        <v>8</v>
      </c>
      <c r="AF14" s="69"/>
      <c r="AG14" s="72"/>
      <c r="AH14" s="52">
        <v>14</v>
      </c>
      <c r="AI14" s="52">
        <v>8</v>
      </c>
      <c r="AJ14" s="52">
        <v>22</v>
      </c>
      <c r="AK14" s="88">
        <v>0.73329999999999995</v>
      </c>
      <c r="AL14" s="70">
        <v>1</v>
      </c>
      <c r="AM14" s="88">
        <v>0.73329999999999995</v>
      </c>
      <c r="AN14" s="52">
        <v>19</v>
      </c>
      <c r="AO14" s="52">
        <v>20</v>
      </c>
      <c r="AP14" s="52" t="s">
        <v>453</v>
      </c>
      <c r="AQ14" s="52">
        <v>5</v>
      </c>
      <c r="AR14" s="52">
        <v>5</v>
      </c>
      <c r="AS14" s="52">
        <v>5</v>
      </c>
      <c r="AT14" s="52">
        <v>5</v>
      </c>
      <c r="AU14" s="52">
        <v>20</v>
      </c>
      <c r="AV14" s="89">
        <f t="shared" si="0"/>
        <v>20</v>
      </c>
      <c r="AW14" s="23" t="s">
        <v>453</v>
      </c>
      <c r="AX14" s="82">
        <v>20</v>
      </c>
      <c r="AZ14" s="20">
        <v>11.1</v>
      </c>
      <c r="BA14" s="22">
        <v>43217</v>
      </c>
      <c r="BB14" s="23" t="s">
        <v>256</v>
      </c>
      <c r="BC14" s="22" t="s">
        <v>34</v>
      </c>
      <c r="BE14" s="62" t="s">
        <v>453</v>
      </c>
      <c r="BF14" s="62">
        <v>5</v>
      </c>
      <c r="BG14" s="62">
        <v>5</v>
      </c>
      <c r="BH14" s="62">
        <v>5</v>
      </c>
      <c r="BI14" s="62">
        <v>5</v>
      </c>
      <c r="BJ14" s="62">
        <v>20</v>
      </c>
      <c r="BK14" s="90">
        <f t="shared" si="1"/>
        <v>20</v>
      </c>
      <c r="BL14" s="83">
        <v>20</v>
      </c>
      <c r="BM14" s="52" t="s">
        <v>592</v>
      </c>
      <c r="BO14" s="99">
        <v>19</v>
      </c>
      <c r="BP14" s="99">
        <v>0</v>
      </c>
      <c r="CD14" s="51" t="s">
        <v>504</v>
      </c>
      <c r="CE14" s="47" t="s">
        <v>453</v>
      </c>
      <c r="CF14" s="70">
        <v>1</v>
      </c>
      <c r="CG14" s="70">
        <v>0.73329999999999995</v>
      </c>
      <c r="CH14" s="47" t="s">
        <v>570</v>
      </c>
      <c r="CK14" s="52" t="s">
        <v>624</v>
      </c>
    </row>
    <row r="15" spans="1:91" ht="17" customHeight="1">
      <c r="A15" s="23">
        <v>15</v>
      </c>
      <c r="B15" s="23" t="s">
        <v>205</v>
      </c>
      <c r="C15" s="20">
        <v>11.1</v>
      </c>
      <c r="D15" s="22">
        <v>13</v>
      </c>
      <c r="E15" s="22" t="s">
        <v>430</v>
      </c>
      <c r="F15" s="20">
        <v>11.1</v>
      </c>
      <c r="G15" s="22">
        <v>43220</v>
      </c>
      <c r="H15" s="20">
        <v>11.1</v>
      </c>
      <c r="I15" s="23" t="s">
        <v>258</v>
      </c>
      <c r="J15" s="116">
        <v>0.96699999999999997</v>
      </c>
      <c r="K15" s="114">
        <v>0.93330000000000002</v>
      </c>
      <c r="L15" s="114"/>
      <c r="M15" s="114"/>
      <c r="N15" s="114"/>
      <c r="O15" s="114"/>
      <c r="P15" s="114"/>
      <c r="Q15" s="114"/>
      <c r="R15" s="81">
        <v>19</v>
      </c>
      <c r="S15" s="81">
        <v>18</v>
      </c>
      <c r="T15" s="82">
        <v>19.5</v>
      </c>
      <c r="U15" s="83">
        <v>19.5</v>
      </c>
      <c r="V15" s="23" t="s">
        <v>259</v>
      </c>
      <c r="W15" s="22" t="s">
        <v>37</v>
      </c>
      <c r="X15" s="23" t="s">
        <v>37</v>
      </c>
      <c r="Y15" s="23" t="s">
        <v>440</v>
      </c>
      <c r="Z15" s="23">
        <v>-1</v>
      </c>
      <c r="AA15" s="47">
        <v>29</v>
      </c>
      <c r="AB15" s="70">
        <v>0.96699999999999997</v>
      </c>
      <c r="AC15" s="47" t="s">
        <v>440</v>
      </c>
      <c r="AD15" s="71">
        <v>18</v>
      </c>
      <c r="AE15" s="71">
        <v>10</v>
      </c>
      <c r="AF15" s="69"/>
      <c r="AG15" s="72"/>
      <c r="AH15" s="52">
        <v>18</v>
      </c>
      <c r="AI15" s="52">
        <v>10</v>
      </c>
      <c r="AJ15" s="52">
        <v>28</v>
      </c>
      <c r="AK15" s="95">
        <v>0.93330000000000002</v>
      </c>
      <c r="AL15" s="70">
        <v>0.96699999999999997</v>
      </c>
      <c r="AM15" s="95">
        <v>0.93330000000000002</v>
      </c>
      <c r="AN15" s="52">
        <v>19</v>
      </c>
      <c r="AO15" s="52">
        <v>18</v>
      </c>
      <c r="AP15" s="52" t="s">
        <v>440</v>
      </c>
      <c r="AQ15" s="52">
        <v>4.5</v>
      </c>
      <c r="AR15" s="52">
        <v>5</v>
      </c>
      <c r="AS15" s="52">
        <v>5</v>
      </c>
      <c r="AT15" s="52">
        <v>5</v>
      </c>
      <c r="AU15" s="52">
        <v>19.5</v>
      </c>
      <c r="AV15" s="89">
        <f t="shared" si="0"/>
        <v>19.5</v>
      </c>
      <c r="AW15" s="23" t="s">
        <v>440</v>
      </c>
      <c r="AX15" s="82">
        <v>19.5</v>
      </c>
      <c r="AZ15" s="20">
        <v>11.1</v>
      </c>
      <c r="BA15" s="22">
        <v>43220</v>
      </c>
      <c r="BB15" s="23" t="s">
        <v>258</v>
      </c>
      <c r="BC15" s="22" t="s">
        <v>37</v>
      </c>
      <c r="BE15" s="62" t="s">
        <v>440</v>
      </c>
      <c r="BF15" s="62">
        <v>5</v>
      </c>
      <c r="BG15" s="62">
        <v>5</v>
      </c>
      <c r="BH15" s="62">
        <v>5</v>
      </c>
      <c r="BI15" s="62">
        <v>4.5</v>
      </c>
      <c r="BJ15" s="62">
        <v>19.5</v>
      </c>
      <c r="BK15" s="90">
        <f t="shared" si="1"/>
        <v>19.5</v>
      </c>
      <c r="BL15" s="83">
        <v>19.5</v>
      </c>
      <c r="BM15" s="52" t="s">
        <v>591</v>
      </c>
      <c r="BO15" s="99">
        <v>29</v>
      </c>
      <c r="BP15" s="99">
        <v>0</v>
      </c>
      <c r="CD15" s="51" t="s">
        <v>505</v>
      </c>
      <c r="CE15" s="47" t="s">
        <v>440</v>
      </c>
      <c r="CF15" s="70">
        <v>0.96699999999999997</v>
      </c>
      <c r="CG15" s="70">
        <v>0.93330000000000002</v>
      </c>
      <c r="CH15" s="47" t="s">
        <v>576</v>
      </c>
      <c r="CK15" s="52" t="s">
        <v>591</v>
      </c>
    </row>
    <row r="16" spans="1:91" s="57" customFormat="1" ht="17" customHeight="1">
      <c r="A16" s="54">
        <v>16</v>
      </c>
      <c r="B16" s="54"/>
      <c r="C16" s="54"/>
      <c r="D16" s="55"/>
      <c r="E16" s="55" t="s">
        <v>413</v>
      </c>
      <c r="F16" s="54">
        <v>0</v>
      </c>
      <c r="G16" s="55">
        <v>55555</v>
      </c>
      <c r="H16" s="54">
        <v>0</v>
      </c>
      <c r="I16" s="54" t="s">
        <v>412</v>
      </c>
      <c r="J16" s="117"/>
      <c r="K16" s="113"/>
      <c r="L16" s="113"/>
      <c r="M16" s="113"/>
      <c r="N16" s="113"/>
      <c r="O16" s="113"/>
      <c r="P16" s="113"/>
      <c r="Q16" s="113"/>
      <c r="R16" s="81"/>
      <c r="S16" s="81"/>
      <c r="V16" s="54"/>
      <c r="W16" s="55"/>
      <c r="X16" s="54"/>
      <c r="Y16" s="54" t="s">
        <v>454</v>
      </c>
      <c r="Z16" s="54"/>
      <c r="AA16" s="73"/>
      <c r="AB16" s="73"/>
      <c r="AC16" s="73" t="s">
        <v>454</v>
      </c>
      <c r="AD16" s="73"/>
      <c r="AE16" s="73"/>
      <c r="AF16" s="54"/>
      <c r="AG16" s="73"/>
      <c r="AL16" s="73"/>
      <c r="AP16" s="57" t="s">
        <v>454</v>
      </c>
      <c r="AV16" s="93">
        <f t="shared" si="0"/>
        <v>0</v>
      </c>
      <c r="AW16" s="54" t="s">
        <v>454</v>
      </c>
      <c r="AZ16" s="54">
        <v>0</v>
      </c>
      <c r="BA16" s="55">
        <v>55555</v>
      </c>
      <c r="BB16" s="54" t="s">
        <v>412</v>
      </c>
      <c r="BC16" s="55"/>
      <c r="BE16" s="94" t="s">
        <v>454</v>
      </c>
      <c r="BK16" s="93">
        <f t="shared" si="1"/>
        <v>0</v>
      </c>
      <c r="BM16" s="57" t="s">
        <v>591</v>
      </c>
      <c r="BO16" s="99"/>
      <c r="BP16" s="99">
        <v>0</v>
      </c>
      <c r="CD16" s="56" t="s">
        <v>506</v>
      </c>
      <c r="CE16" s="73" t="s">
        <v>454</v>
      </c>
      <c r="CK16" s="57" t="s">
        <v>591</v>
      </c>
    </row>
    <row r="17" spans="1:89" ht="17" customHeight="1">
      <c r="A17" s="23">
        <v>17</v>
      </c>
      <c r="B17" s="23" t="s">
        <v>205</v>
      </c>
      <c r="C17" s="20">
        <v>11.1</v>
      </c>
      <c r="D17" s="22">
        <v>14</v>
      </c>
      <c r="E17" s="22" t="s">
        <v>414</v>
      </c>
      <c r="F17" s="20">
        <v>11.1</v>
      </c>
      <c r="G17" s="22">
        <v>43226</v>
      </c>
      <c r="H17" s="20">
        <v>11.1</v>
      </c>
      <c r="I17" s="23" t="s">
        <v>260</v>
      </c>
      <c r="J17" s="116">
        <v>1</v>
      </c>
      <c r="K17" s="114">
        <v>0.76670000000000005</v>
      </c>
      <c r="L17" s="114"/>
      <c r="M17" s="114"/>
      <c r="N17" s="114"/>
      <c r="O17" s="114"/>
      <c r="P17" s="114"/>
      <c r="Q17" s="114"/>
      <c r="R17" s="81">
        <v>20</v>
      </c>
      <c r="S17" s="81">
        <v>20</v>
      </c>
      <c r="T17" s="82">
        <v>19.5</v>
      </c>
      <c r="U17" s="83">
        <v>19.5</v>
      </c>
      <c r="V17" s="23" t="s">
        <v>261</v>
      </c>
      <c r="W17" s="22" t="s">
        <v>40</v>
      </c>
      <c r="X17" s="20" t="s">
        <v>402</v>
      </c>
      <c r="Y17" s="20" t="s">
        <v>445</v>
      </c>
      <c r="Z17" s="23">
        <v>30</v>
      </c>
      <c r="AA17" s="47">
        <v>30</v>
      </c>
      <c r="AB17" s="70">
        <v>1</v>
      </c>
      <c r="AC17" s="47" t="s">
        <v>445</v>
      </c>
      <c r="AD17" s="71">
        <v>15</v>
      </c>
      <c r="AE17" s="71">
        <v>8</v>
      </c>
      <c r="AF17" s="69"/>
      <c r="AG17" s="72"/>
      <c r="AH17" s="52">
        <v>15</v>
      </c>
      <c r="AI17" s="52">
        <v>8</v>
      </c>
      <c r="AJ17" s="52">
        <v>23</v>
      </c>
      <c r="AK17" s="88">
        <v>0.76670000000000005</v>
      </c>
      <c r="AL17" s="70">
        <v>1</v>
      </c>
      <c r="AM17" s="88">
        <v>0.76670000000000005</v>
      </c>
      <c r="AN17" s="52">
        <v>20</v>
      </c>
      <c r="AO17" s="52">
        <v>20</v>
      </c>
      <c r="AP17" s="52" t="s">
        <v>445</v>
      </c>
      <c r="AQ17" s="52">
        <v>4.5</v>
      </c>
      <c r="AR17" s="52">
        <v>5</v>
      </c>
      <c r="AS17" s="52">
        <v>5</v>
      </c>
      <c r="AT17" s="52">
        <v>5</v>
      </c>
      <c r="AU17" s="52">
        <v>19.5</v>
      </c>
      <c r="AV17" s="89">
        <f t="shared" si="0"/>
        <v>19.5</v>
      </c>
      <c r="AW17" s="20" t="s">
        <v>445</v>
      </c>
      <c r="AX17" s="82">
        <v>19.5</v>
      </c>
      <c r="AZ17" s="20">
        <v>11.1</v>
      </c>
      <c r="BA17" s="22">
        <v>43226</v>
      </c>
      <c r="BB17" s="23" t="s">
        <v>260</v>
      </c>
      <c r="BC17" s="22" t="s">
        <v>40</v>
      </c>
      <c r="BE17" s="62" t="s">
        <v>445</v>
      </c>
      <c r="BF17" s="62">
        <v>5</v>
      </c>
      <c r="BG17" s="62">
        <v>5</v>
      </c>
      <c r="BH17" s="62">
        <v>5</v>
      </c>
      <c r="BI17" s="62">
        <v>4.5</v>
      </c>
      <c r="BJ17" s="62">
        <v>19.5</v>
      </c>
      <c r="BK17" s="90">
        <f t="shared" si="1"/>
        <v>19.5</v>
      </c>
      <c r="BL17" s="83">
        <v>19.5</v>
      </c>
      <c r="BM17" s="52" t="s">
        <v>592</v>
      </c>
      <c r="BO17" s="99">
        <v>30</v>
      </c>
      <c r="BP17" s="99">
        <v>0</v>
      </c>
      <c r="CD17" s="51" t="s">
        <v>507</v>
      </c>
      <c r="CE17" s="47" t="s">
        <v>445</v>
      </c>
      <c r="CF17" s="70">
        <v>1</v>
      </c>
      <c r="CG17" s="70">
        <v>0.76670000000000005</v>
      </c>
      <c r="CH17" s="47" t="s">
        <v>570</v>
      </c>
      <c r="CK17" s="52" t="s">
        <v>624</v>
      </c>
    </row>
    <row r="18" spans="1:89" s="57" customFormat="1" ht="17" customHeight="1">
      <c r="A18" s="54">
        <v>18</v>
      </c>
      <c r="B18" s="54" t="s">
        <v>207</v>
      </c>
      <c r="C18" s="54">
        <v>13.2</v>
      </c>
      <c r="D18" s="55">
        <v>13.2</v>
      </c>
      <c r="E18" s="55" t="s">
        <v>417</v>
      </c>
      <c r="F18" s="54">
        <v>13.2</v>
      </c>
      <c r="G18" s="54">
        <v>13.2</v>
      </c>
      <c r="H18" s="54">
        <v>13.2</v>
      </c>
      <c r="I18" s="54">
        <v>13.2</v>
      </c>
      <c r="J18" s="117"/>
      <c r="K18" s="113"/>
      <c r="L18" s="113"/>
      <c r="M18" s="113"/>
      <c r="N18" s="113"/>
      <c r="O18" s="113"/>
      <c r="P18" s="113"/>
      <c r="Q18" s="113"/>
      <c r="R18" s="81"/>
      <c r="S18" s="81"/>
      <c r="V18" s="54" t="s">
        <v>233</v>
      </c>
      <c r="W18" s="55"/>
      <c r="X18" s="54"/>
      <c r="Y18" s="54"/>
      <c r="Z18" s="54"/>
      <c r="AA18" s="73"/>
      <c r="AB18" s="73"/>
      <c r="AC18" s="73"/>
      <c r="AD18" s="73"/>
      <c r="AE18" s="73"/>
      <c r="AF18" s="54"/>
      <c r="AG18" s="73"/>
      <c r="AL18" s="73"/>
      <c r="AV18" s="93">
        <f t="shared" si="0"/>
        <v>0</v>
      </c>
      <c r="AW18" s="54"/>
      <c r="AZ18" s="54">
        <v>13.2</v>
      </c>
      <c r="BA18" s="54">
        <v>13.2</v>
      </c>
      <c r="BB18" s="54">
        <v>13.2</v>
      </c>
      <c r="BC18" s="55"/>
      <c r="BE18" s="94"/>
      <c r="BF18" s="73"/>
      <c r="BG18" s="73"/>
      <c r="BH18" s="73"/>
      <c r="BI18" s="73"/>
      <c r="BJ18" s="73"/>
      <c r="BK18" s="93">
        <f t="shared" si="1"/>
        <v>0</v>
      </c>
      <c r="BM18" s="57" t="s">
        <v>591</v>
      </c>
      <c r="BO18" s="99"/>
      <c r="BP18" s="99">
        <v>0</v>
      </c>
      <c r="CE18" s="73"/>
      <c r="CK18" s="57" t="s">
        <v>591</v>
      </c>
    </row>
    <row r="19" spans="1:89" ht="17" customHeight="1">
      <c r="A19" s="23">
        <v>19</v>
      </c>
      <c r="B19" s="23" t="s">
        <v>202</v>
      </c>
      <c r="C19" s="20">
        <v>13.2</v>
      </c>
      <c r="D19" s="22">
        <v>1</v>
      </c>
      <c r="E19" s="22" t="s">
        <v>418</v>
      </c>
      <c r="F19" s="20">
        <v>13.2</v>
      </c>
      <c r="G19" s="22">
        <v>42888</v>
      </c>
      <c r="H19" s="20">
        <v>13.2</v>
      </c>
      <c r="I19" s="23" t="s">
        <v>262</v>
      </c>
      <c r="J19" s="116">
        <v>0.86699999999999999</v>
      </c>
      <c r="K19" s="114">
        <v>0.66669999999999996</v>
      </c>
      <c r="L19" s="114"/>
      <c r="M19" s="114"/>
      <c r="N19" s="114"/>
      <c r="O19" s="114"/>
      <c r="P19" s="114"/>
      <c r="Q19" s="114"/>
      <c r="R19" s="81">
        <v>14</v>
      </c>
      <c r="S19" s="81">
        <v>14</v>
      </c>
      <c r="T19" s="82">
        <v>19.5</v>
      </c>
      <c r="U19" s="83">
        <v>19.5</v>
      </c>
      <c r="V19" s="23" t="s">
        <v>263</v>
      </c>
      <c r="W19" s="22" t="s">
        <v>90</v>
      </c>
      <c r="X19" s="23" t="s">
        <v>410</v>
      </c>
      <c r="Y19" s="23" t="s">
        <v>444</v>
      </c>
      <c r="Z19" s="23">
        <v>-4</v>
      </c>
      <c r="AA19" s="47">
        <v>26</v>
      </c>
      <c r="AB19" s="70">
        <v>0.86699999999999999</v>
      </c>
      <c r="AC19" s="47" t="s">
        <v>444</v>
      </c>
      <c r="AD19" s="71">
        <v>16</v>
      </c>
      <c r="AE19" s="71">
        <v>4</v>
      </c>
      <c r="AF19" s="69"/>
      <c r="AG19" s="72"/>
      <c r="AH19" s="52">
        <v>16</v>
      </c>
      <c r="AI19" s="52">
        <v>4</v>
      </c>
      <c r="AJ19" s="52">
        <v>20</v>
      </c>
      <c r="AK19" s="88">
        <v>0.66669999999999996</v>
      </c>
      <c r="AL19" s="70">
        <v>0.86699999999999999</v>
      </c>
      <c r="AM19" s="88">
        <v>0.66669999999999996</v>
      </c>
      <c r="AN19" s="52">
        <v>14</v>
      </c>
      <c r="AO19" s="52">
        <v>14</v>
      </c>
      <c r="AP19" s="52" t="s">
        <v>444</v>
      </c>
      <c r="AQ19" s="52">
        <v>4.5</v>
      </c>
      <c r="AR19" s="52">
        <v>5</v>
      </c>
      <c r="AS19" s="52">
        <v>5</v>
      </c>
      <c r="AT19" s="52">
        <v>5</v>
      </c>
      <c r="AU19" s="52">
        <v>19.5</v>
      </c>
      <c r="AV19" s="89">
        <f t="shared" si="0"/>
        <v>19.5</v>
      </c>
      <c r="AW19" s="23" t="s">
        <v>444</v>
      </c>
      <c r="AX19" s="82">
        <v>19.5</v>
      </c>
      <c r="AZ19" s="20">
        <v>13.2</v>
      </c>
      <c r="BA19" s="22">
        <v>42888</v>
      </c>
      <c r="BB19" s="23" t="s">
        <v>262</v>
      </c>
      <c r="BC19" s="22" t="s">
        <v>90</v>
      </c>
      <c r="BE19" s="62" t="s">
        <v>444</v>
      </c>
      <c r="BF19" s="62">
        <v>5</v>
      </c>
      <c r="BG19" s="62">
        <v>5</v>
      </c>
      <c r="BH19" s="62">
        <v>5</v>
      </c>
      <c r="BI19" s="62">
        <v>4.5</v>
      </c>
      <c r="BJ19" s="62">
        <v>19.5</v>
      </c>
      <c r="BK19" s="90">
        <f t="shared" si="1"/>
        <v>19.5</v>
      </c>
      <c r="BL19" s="83">
        <v>19.5</v>
      </c>
      <c r="BM19" s="52" t="s">
        <v>593</v>
      </c>
      <c r="BO19" s="99">
        <v>9</v>
      </c>
      <c r="BP19" s="99">
        <v>0</v>
      </c>
      <c r="CD19" s="51" t="s">
        <v>508</v>
      </c>
      <c r="CE19" s="47" t="s">
        <v>444</v>
      </c>
      <c r="CF19" s="70">
        <v>0.86699999999999999</v>
      </c>
      <c r="CG19" s="70">
        <v>0.66669999999999996</v>
      </c>
      <c r="CH19" s="47" t="s">
        <v>570</v>
      </c>
      <c r="CK19" s="52" t="s">
        <v>625</v>
      </c>
    </row>
    <row r="20" spans="1:89" ht="17" customHeight="1">
      <c r="A20" s="23">
        <v>20</v>
      </c>
      <c r="B20" s="23" t="s">
        <v>202</v>
      </c>
      <c r="C20" s="20">
        <v>13.2</v>
      </c>
      <c r="D20" s="22">
        <v>2</v>
      </c>
      <c r="E20" s="22" t="s">
        <v>419</v>
      </c>
      <c r="F20" s="20">
        <v>13.2</v>
      </c>
      <c r="G20" s="22">
        <v>42929</v>
      </c>
      <c r="H20" s="20">
        <v>13.2</v>
      </c>
      <c r="I20" s="23" t="s">
        <v>264</v>
      </c>
      <c r="J20" s="116">
        <v>0.86699999999999999</v>
      </c>
      <c r="K20" s="114">
        <v>0.6</v>
      </c>
      <c r="L20" s="114"/>
      <c r="M20" s="114"/>
      <c r="N20" s="114"/>
      <c r="O20" s="114"/>
      <c r="P20" s="114"/>
      <c r="Q20" s="114"/>
      <c r="R20" s="81">
        <v>15</v>
      </c>
      <c r="S20" s="81">
        <v>16</v>
      </c>
      <c r="T20" s="82">
        <v>20</v>
      </c>
      <c r="U20" s="83">
        <v>20</v>
      </c>
      <c r="V20" s="23" t="s">
        <v>265</v>
      </c>
      <c r="W20" s="22" t="s">
        <v>93</v>
      </c>
      <c r="X20" s="23" t="s">
        <v>407</v>
      </c>
      <c r="Y20" s="23" t="s">
        <v>446</v>
      </c>
      <c r="Z20" s="23">
        <v>-4</v>
      </c>
      <c r="AA20" s="47">
        <v>26</v>
      </c>
      <c r="AB20" s="70">
        <v>0.86699999999999999</v>
      </c>
      <c r="AC20" s="47" t="s">
        <v>446</v>
      </c>
      <c r="AD20" s="71">
        <v>12</v>
      </c>
      <c r="AE20" s="71">
        <v>6</v>
      </c>
      <c r="AF20" s="69"/>
      <c r="AG20" s="72"/>
      <c r="AH20" s="52">
        <v>12</v>
      </c>
      <c r="AI20" s="52">
        <v>6</v>
      </c>
      <c r="AJ20" s="52">
        <v>18</v>
      </c>
      <c r="AK20" s="88">
        <v>0.6</v>
      </c>
      <c r="AL20" s="70">
        <v>0.86699999999999999</v>
      </c>
      <c r="AM20" s="88">
        <v>0.6</v>
      </c>
      <c r="AN20" s="52">
        <v>15</v>
      </c>
      <c r="AO20" s="52">
        <v>16</v>
      </c>
      <c r="AP20" s="52" t="s">
        <v>446</v>
      </c>
      <c r="AQ20" s="52">
        <v>5</v>
      </c>
      <c r="AR20" s="52">
        <v>5</v>
      </c>
      <c r="AS20" s="52">
        <v>5</v>
      </c>
      <c r="AT20" s="52">
        <v>5</v>
      </c>
      <c r="AU20" s="52">
        <v>20</v>
      </c>
      <c r="AV20" s="89">
        <f t="shared" si="0"/>
        <v>20</v>
      </c>
      <c r="AW20" s="23" t="s">
        <v>446</v>
      </c>
      <c r="AX20" s="82">
        <v>20</v>
      </c>
      <c r="AZ20" s="20">
        <v>13.2</v>
      </c>
      <c r="BA20" s="22">
        <v>42929</v>
      </c>
      <c r="BB20" s="23" t="s">
        <v>264</v>
      </c>
      <c r="BC20" s="22" t="s">
        <v>93</v>
      </c>
      <c r="BE20" s="62" t="s">
        <v>446</v>
      </c>
      <c r="BF20" s="62">
        <v>5</v>
      </c>
      <c r="BG20" s="62">
        <v>5</v>
      </c>
      <c r="BH20" s="62">
        <v>5</v>
      </c>
      <c r="BI20" s="62">
        <v>5</v>
      </c>
      <c r="BJ20" s="62">
        <v>20</v>
      </c>
      <c r="BK20" s="90">
        <f t="shared" si="1"/>
        <v>20</v>
      </c>
      <c r="BL20" s="83">
        <v>20</v>
      </c>
      <c r="BM20" s="52" t="s">
        <v>593</v>
      </c>
      <c r="BO20" s="99">
        <v>21</v>
      </c>
      <c r="BP20" s="99">
        <v>0</v>
      </c>
      <c r="CD20" s="51" t="s">
        <v>509</v>
      </c>
      <c r="CE20" s="47" t="s">
        <v>446</v>
      </c>
      <c r="CF20" s="70">
        <v>0.86699999999999999</v>
      </c>
      <c r="CG20" s="70">
        <v>0.6</v>
      </c>
      <c r="CH20" s="47" t="s">
        <v>574</v>
      </c>
      <c r="CK20" s="52" t="s">
        <v>625</v>
      </c>
    </row>
    <row r="21" spans="1:89" ht="17" customHeight="1">
      <c r="A21" s="23">
        <v>21</v>
      </c>
      <c r="B21" s="23" t="s">
        <v>202</v>
      </c>
      <c r="C21" s="20">
        <v>13.2</v>
      </c>
      <c r="D21" s="22">
        <v>3</v>
      </c>
      <c r="E21" s="22" t="s">
        <v>420</v>
      </c>
      <c r="F21" s="20">
        <v>13.2</v>
      </c>
      <c r="G21" s="22">
        <v>42970</v>
      </c>
      <c r="H21" s="20">
        <v>13.2</v>
      </c>
      <c r="I21" s="23" t="s">
        <v>266</v>
      </c>
      <c r="J21" s="116">
        <v>0.9</v>
      </c>
      <c r="K21" s="114">
        <v>0.86670000000000003</v>
      </c>
      <c r="L21" s="114"/>
      <c r="M21" s="114"/>
      <c r="N21" s="114"/>
      <c r="O21" s="114"/>
      <c r="P21" s="114"/>
      <c r="Q21" s="114"/>
      <c r="R21" s="81">
        <v>19</v>
      </c>
      <c r="S21" s="81">
        <v>18</v>
      </c>
      <c r="T21" s="82">
        <v>19.5</v>
      </c>
      <c r="U21" s="83">
        <v>19.5</v>
      </c>
      <c r="V21" s="23" t="s">
        <v>267</v>
      </c>
      <c r="W21" s="22" t="s">
        <v>96</v>
      </c>
      <c r="X21" s="23" t="s">
        <v>266</v>
      </c>
      <c r="Y21" s="23" t="s">
        <v>447</v>
      </c>
      <c r="Z21" s="23">
        <v>-3</v>
      </c>
      <c r="AA21" s="47">
        <v>27</v>
      </c>
      <c r="AB21" s="70">
        <v>0.9</v>
      </c>
      <c r="AC21" s="47" t="s">
        <v>447</v>
      </c>
      <c r="AD21" s="71">
        <v>19</v>
      </c>
      <c r="AE21" s="71">
        <v>7</v>
      </c>
      <c r="AF21" s="69"/>
      <c r="AG21" s="72"/>
      <c r="AH21" s="52">
        <v>19</v>
      </c>
      <c r="AI21" s="52">
        <v>7</v>
      </c>
      <c r="AJ21" s="52">
        <v>26</v>
      </c>
      <c r="AK21" s="88">
        <v>0.86670000000000003</v>
      </c>
      <c r="AL21" s="70">
        <v>0.9</v>
      </c>
      <c r="AM21" s="88">
        <v>0.86670000000000003</v>
      </c>
      <c r="AN21" s="52">
        <v>19</v>
      </c>
      <c r="AO21" s="52">
        <v>18</v>
      </c>
      <c r="AP21" s="52" t="s">
        <v>447</v>
      </c>
      <c r="AQ21" s="52">
        <v>4.5</v>
      </c>
      <c r="AR21" s="52">
        <v>5</v>
      </c>
      <c r="AS21" s="52">
        <v>5</v>
      </c>
      <c r="AT21" s="52">
        <v>5</v>
      </c>
      <c r="AU21" s="52">
        <v>19.5</v>
      </c>
      <c r="AV21" s="89">
        <f t="shared" si="0"/>
        <v>19.5</v>
      </c>
      <c r="AW21" s="23" t="s">
        <v>447</v>
      </c>
      <c r="AX21" s="82">
        <v>19.5</v>
      </c>
      <c r="AZ21" s="20">
        <v>13.2</v>
      </c>
      <c r="BA21" s="22">
        <v>42970</v>
      </c>
      <c r="BB21" s="23" t="s">
        <v>266</v>
      </c>
      <c r="BC21" s="22" t="s">
        <v>96</v>
      </c>
      <c r="BE21" s="62" t="s">
        <v>447</v>
      </c>
      <c r="BF21" s="62">
        <v>5</v>
      </c>
      <c r="BG21" s="62">
        <v>5</v>
      </c>
      <c r="BH21" s="62">
        <v>5</v>
      </c>
      <c r="BI21" s="62">
        <v>4.5</v>
      </c>
      <c r="BJ21" s="62">
        <v>19.5</v>
      </c>
      <c r="BK21" s="90">
        <f t="shared" si="1"/>
        <v>19.5</v>
      </c>
      <c r="BL21" s="83">
        <v>19.5</v>
      </c>
      <c r="BM21" s="52" t="s">
        <v>592</v>
      </c>
      <c r="BO21" s="99">
        <v>29</v>
      </c>
      <c r="BP21" s="99">
        <v>0</v>
      </c>
      <c r="CD21" s="51" t="s">
        <v>510</v>
      </c>
      <c r="CE21" s="47" t="s">
        <v>447</v>
      </c>
      <c r="CF21" s="70">
        <v>0.9</v>
      </c>
      <c r="CG21" s="70">
        <v>0.86670000000000003</v>
      </c>
      <c r="CH21" s="47" t="s">
        <v>576</v>
      </c>
      <c r="CK21" s="52" t="s">
        <v>624</v>
      </c>
    </row>
    <row r="22" spans="1:89" ht="17" customHeight="1">
      <c r="A22" s="23">
        <v>22</v>
      </c>
      <c r="B22" s="23"/>
      <c r="C22" s="20"/>
      <c r="D22" s="22"/>
      <c r="E22" s="22"/>
      <c r="F22" s="20"/>
      <c r="G22" s="22">
        <v>42984</v>
      </c>
      <c r="H22" s="20"/>
      <c r="I22" s="23" t="s">
        <v>432</v>
      </c>
      <c r="J22" s="116">
        <v>1</v>
      </c>
      <c r="K22" s="114">
        <v>0.93330000000000002</v>
      </c>
      <c r="L22" s="114"/>
      <c r="M22" s="114"/>
      <c r="N22" s="114"/>
      <c r="O22" s="114"/>
      <c r="P22" s="114"/>
      <c r="Q22" s="114"/>
      <c r="R22" s="81">
        <v>20</v>
      </c>
      <c r="S22" s="81">
        <v>20</v>
      </c>
      <c r="T22" s="82">
        <v>19.5</v>
      </c>
      <c r="U22" s="83">
        <v>19.5</v>
      </c>
      <c r="V22" s="23" t="s">
        <v>433</v>
      </c>
      <c r="W22" s="19"/>
      <c r="X22" s="20"/>
      <c r="Y22" s="20" t="s">
        <v>448</v>
      </c>
      <c r="Z22" s="23">
        <v>30</v>
      </c>
      <c r="AA22" s="47">
        <v>30</v>
      </c>
      <c r="AB22" s="70">
        <v>1</v>
      </c>
      <c r="AC22" s="47" t="s">
        <v>448</v>
      </c>
      <c r="AD22" s="71">
        <v>19</v>
      </c>
      <c r="AE22" s="71">
        <v>9</v>
      </c>
      <c r="AF22" s="69"/>
      <c r="AG22" s="72"/>
      <c r="AH22" s="52">
        <v>19</v>
      </c>
      <c r="AI22" s="52">
        <v>9</v>
      </c>
      <c r="AJ22" s="52">
        <v>28</v>
      </c>
      <c r="AK22" s="95">
        <v>0.93330000000000002</v>
      </c>
      <c r="AL22" s="70">
        <v>1</v>
      </c>
      <c r="AM22" s="95">
        <v>0.93330000000000002</v>
      </c>
      <c r="AN22" s="52">
        <v>20</v>
      </c>
      <c r="AO22" s="52">
        <v>20</v>
      </c>
      <c r="AP22" s="52" t="s">
        <v>448</v>
      </c>
      <c r="AQ22" s="52">
        <v>4.5</v>
      </c>
      <c r="AR22" s="52">
        <v>5</v>
      </c>
      <c r="AS22" s="52">
        <v>5</v>
      </c>
      <c r="AT22" s="52">
        <v>5</v>
      </c>
      <c r="AU22" s="52">
        <v>19.5</v>
      </c>
      <c r="AV22" s="89">
        <f t="shared" si="0"/>
        <v>19.5</v>
      </c>
      <c r="AW22" s="20" t="s">
        <v>448</v>
      </c>
      <c r="AX22" s="82">
        <v>19.5</v>
      </c>
      <c r="AZ22" s="20"/>
      <c r="BA22" s="22">
        <v>42984</v>
      </c>
      <c r="BB22" s="23" t="s">
        <v>432</v>
      </c>
      <c r="BC22" s="19"/>
      <c r="BE22" s="62" t="s">
        <v>448</v>
      </c>
      <c r="BF22" s="62">
        <v>5</v>
      </c>
      <c r="BG22" s="62">
        <v>5</v>
      </c>
      <c r="BH22" s="62">
        <v>5</v>
      </c>
      <c r="BI22" s="62">
        <v>4.5</v>
      </c>
      <c r="BJ22" s="62">
        <v>19.5</v>
      </c>
      <c r="BK22" s="90">
        <f t="shared" si="1"/>
        <v>19.5</v>
      </c>
      <c r="BL22" s="83">
        <v>19.5</v>
      </c>
      <c r="BM22" s="52" t="s">
        <v>591</v>
      </c>
      <c r="BO22" s="99">
        <v>28</v>
      </c>
      <c r="BP22" s="99">
        <v>0</v>
      </c>
      <c r="CD22" s="51" t="s">
        <v>511</v>
      </c>
      <c r="CE22" s="47" t="s">
        <v>448</v>
      </c>
      <c r="CF22" s="70">
        <v>1</v>
      </c>
      <c r="CG22" s="70">
        <v>0.93330000000000002</v>
      </c>
      <c r="CH22" s="47" t="s">
        <v>575</v>
      </c>
      <c r="CK22" s="52" t="s">
        <v>591</v>
      </c>
    </row>
    <row r="23" spans="1:89" ht="17" customHeight="1">
      <c r="A23" s="23">
        <v>23</v>
      </c>
      <c r="B23" s="23" t="s">
        <v>203</v>
      </c>
      <c r="C23" s="20">
        <v>13.2</v>
      </c>
      <c r="D23" s="22">
        <v>4</v>
      </c>
      <c r="E23" s="22" t="s">
        <v>421</v>
      </c>
      <c r="F23" s="20">
        <v>13.2</v>
      </c>
      <c r="G23" s="22">
        <v>42981</v>
      </c>
      <c r="H23" s="20">
        <v>13.2</v>
      </c>
      <c r="I23" s="23" t="s">
        <v>268</v>
      </c>
      <c r="J23" s="116">
        <v>0.83299999999999996</v>
      </c>
      <c r="K23" s="114">
        <v>0.76670000000000005</v>
      </c>
      <c r="L23" s="114"/>
      <c r="M23" s="114"/>
      <c r="N23" s="114"/>
      <c r="O23" s="114"/>
      <c r="P23" s="114"/>
      <c r="Q23" s="114"/>
      <c r="R23" s="81">
        <v>16</v>
      </c>
      <c r="S23" s="81">
        <v>18</v>
      </c>
      <c r="T23" s="82">
        <v>19</v>
      </c>
      <c r="U23" s="83">
        <v>19</v>
      </c>
      <c r="V23" s="23" t="s">
        <v>269</v>
      </c>
      <c r="W23" s="22" t="s">
        <v>99</v>
      </c>
      <c r="X23" s="23" t="s">
        <v>99</v>
      </c>
      <c r="Y23" s="23" t="s">
        <v>449</v>
      </c>
      <c r="Z23" s="23">
        <v>-5</v>
      </c>
      <c r="AA23" s="47">
        <v>25</v>
      </c>
      <c r="AB23" s="70">
        <v>0.83299999999999996</v>
      </c>
      <c r="AC23" s="47" t="s">
        <v>449</v>
      </c>
      <c r="AD23" s="71">
        <v>15</v>
      </c>
      <c r="AE23" s="71">
        <v>8</v>
      </c>
      <c r="AF23" s="69"/>
      <c r="AG23" s="72"/>
      <c r="AH23" s="52">
        <v>15</v>
      </c>
      <c r="AI23" s="52">
        <v>8</v>
      </c>
      <c r="AJ23" s="52">
        <v>23</v>
      </c>
      <c r="AK23" s="88">
        <v>0.76670000000000005</v>
      </c>
      <c r="AL23" s="70">
        <v>0.83299999999999996</v>
      </c>
      <c r="AM23" s="88">
        <v>0.76670000000000005</v>
      </c>
      <c r="AN23" s="52">
        <v>16</v>
      </c>
      <c r="AO23" s="52">
        <v>18</v>
      </c>
      <c r="AP23" s="52" t="s">
        <v>449</v>
      </c>
      <c r="AQ23" s="52">
        <v>4.25</v>
      </c>
      <c r="AR23" s="52">
        <v>5</v>
      </c>
      <c r="AS23" s="52">
        <v>4.75</v>
      </c>
      <c r="AT23" s="52">
        <v>5</v>
      </c>
      <c r="AU23" s="52">
        <v>19</v>
      </c>
      <c r="AV23" s="89">
        <f t="shared" si="0"/>
        <v>19</v>
      </c>
      <c r="AW23" s="23" t="s">
        <v>449</v>
      </c>
      <c r="AX23" s="82">
        <v>19</v>
      </c>
      <c r="AZ23" s="20">
        <v>13.2</v>
      </c>
      <c r="BA23" s="22">
        <v>42981</v>
      </c>
      <c r="BB23" s="23" t="s">
        <v>268</v>
      </c>
      <c r="BC23" s="22" t="s">
        <v>99</v>
      </c>
      <c r="BE23" s="62" t="s">
        <v>449</v>
      </c>
      <c r="BF23" s="62">
        <v>5</v>
      </c>
      <c r="BG23" s="62">
        <v>5</v>
      </c>
      <c r="BH23" s="62">
        <v>4.5</v>
      </c>
      <c r="BI23" s="62">
        <v>4.5</v>
      </c>
      <c r="BJ23" s="62">
        <v>19</v>
      </c>
      <c r="BK23" s="90">
        <f t="shared" si="1"/>
        <v>19</v>
      </c>
      <c r="BL23" s="83">
        <v>19</v>
      </c>
      <c r="BM23" s="52" t="s">
        <v>592</v>
      </c>
      <c r="BO23" s="99">
        <v>19</v>
      </c>
      <c r="BP23" s="99">
        <v>0</v>
      </c>
      <c r="CD23" s="51" t="s">
        <v>512</v>
      </c>
      <c r="CE23" s="47" t="s">
        <v>449</v>
      </c>
      <c r="CF23" s="70">
        <v>0.83299999999999996</v>
      </c>
      <c r="CG23" s="70">
        <v>0.76670000000000005</v>
      </c>
      <c r="CH23" s="47" t="s">
        <v>572</v>
      </c>
      <c r="CK23" s="52" t="s">
        <v>624</v>
      </c>
    </row>
    <row r="24" spans="1:89" s="57" customFormat="1" ht="17" customHeight="1">
      <c r="A24" s="54">
        <v>24</v>
      </c>
      <c r="B24" s="54"/>
      <c r="C24" s="54"/>
      <c r="D24" s="55"/>
      <c r="E24" s="55" t="s">
        <v>411</v>
      </c>
      <c r="F24" s="54">
        <v>0</v>
      </c>
      <c r="G24" s="55">
        <v>55555</v>
      </c>
      <c r="H24" s="54">
        <v>0</v>
      </c>
      <c r="I24" s="54" t="s">
        <v>412</v>
      </c>
      <c r="J24" s="117"/>
      <c r="K24" s="113"/>
      <c r="L24" s="113"/>
      <c r="M24" s="113"/>
      <c r="N24" s="113"/>
      <c r="O24" s="113"/>
      <c r="P24" s="113"/>
      <c r="Q24" s="113"/>
      <c r="R24" s="81"/>
      <c r="S24" s="81"/>
      <c r="V24" s="54" t="s">
        <v>416</v>
      </c>
      <c r="W24" s="55"/>
      <c r="X24" s="54"/>
      <c r="Y24" s="54" t="s">
        <v>450</v>
      </c>
      <c r="Z24" s="54"/>
      <c r="AA24" s="73"/>
      <c r="AB24" s="73"/>
      <c r="AC24" s="73" t="s">
        <v>450</v>
      </c>
      <c r="AD24" s="73"/>
      <c r="AE24" s="73"/>
      <c r="AF24" s="54"/>
      <c r="AG24" s="73"/>
      <c r="AL24" s="73"/>
      <c r="AP24" s="57" t="s">
        <v>450</v>
      </c>
      <c r="AV24" s="93">
        <f t="shared" si="0"/>
        <v>0</v>
      </c>
      <c r="AW24" s="54" t="s">
        <v>450</v>
      </c>
      <c r="AZ24" s="54">
        <v>0</v>
      </c>
      <c r="BA24" s="55">
        <v>55555</v>
      </c>
      <c r="BB24" s="54" t="s">
        <v>412</v>
      </c>
      <c r="BC24" s="55"/>
      <c r="BE24" s="94" t="s">
        <v>450</v>
      </c>
      <c r="BK24" s="93">
        <f t="shared" si="1"/>
        <v>0</v>
      </c>
      <c r="BM24" s="57" t="s">
        <v>591</v>
      </c>
      <c r="BO24" s="99"/>
      <c r="BP24" s="99">
        <v>0</v>
      </c>
      <c r="CD24" s="56" t="s">
        <v>513</v>
      </c>
      <c r="CE24" s="73" t="s">
        <v>450</v>
      </c>
      <c r="CK24" s="57" t="s">
        <v>591</v>
      </c>
    </row>
    <row r="25" spans="1:89" ht="17" customHeight="1">
      <c r="A25" s="23">
        <v>25</v>
      </c>
      <c r="B25" s="23" t="s">
        <v>203</v>
      </c>
      <c r="C25" s="20">
        <v>13.2</v>
      </c>
      <c r="D25" s="22">
        <v>5</v>
      </c>
      <c r="E25" s="22" t="s">
        <v>422</v>
      </c>
      <c r="F25" s="20">
        <v>13.2</v>
      </c>
      <c r="G25" s="22">
        <v>42997</v>
      </c>
      <c r="H25" s="20">
        <v>13.2</v>
      </c>
      <c r="I25" s="23" t="s">
        <v>270</v>
      </c>
      <c r="J25" s="116">
        <v>1</v>
      </c>
      <c r="K25" s="114">
        <v>0.73329999999999995</v>
      </c>
      <c r="L25" s="114"/>
      <c r="M25" s="114"/>
      <c r="N25" s="114"/>
      <c r="O25" s="114"/>
      <c r="P25" s="114"/>
      <c r="Q25" s="114"/>
      <c r="R25" s="81">
        <v>14</v>
      </c>
      <c r="S25" s="81">
        <v>18</v>
      </c>
      <c r="T25" s="82">
        <v>19.5</v>
      </c>
      <c r="U25" s="83">
        <v>19.5</v>
      </c>
      <c r="V25" s="23" t="s">
        <v>271</v>
      </c>
      <c r="W25" s="22" t="s">
        <v>102</v>
      </c>
      <c r="X25" s="23" t="s">
        <v>102</v>
      </c>
      <c r="Y25" s="23" t="s">
        <v>442</v>
      </c>
      <c r="Z25" s="23">
        <v>30</v>
      </c>
      <c r="AA25" s="47">
        <v>30</v>
      </c>
      <c r="AB25" s="70">
        <v>1</v>
      </c>
      <c r="AC25" s="47" t="s">
        <v>442</v>
      </c>
      <c r="AD25" s="71">
        <v>17</v>
      </c>
      <c r="AE25" s="71">
        <v>5</v>
      </c>
      <c r="AF25" s="69"/>
      <c r="AG25" s="72"/>
      <c r="AH25" s="52">
        <v>17</v>
      </c>
      <c r="AI25" s="52">
        <v>5</v>
      </c>
      <c r="AJ25" s="52">
        <v>22</v>
      </c>
      <c r="AK25" s="88">
        <v>0.73329999999999995</v>
      </c>
      <c r="AL25" s="70">
        <v>1</v>
      </c>
      <c r="AM25" s="88">
        <v>0.73329999999999995</v>
      </c>
      <c r="AN25" s="52">
        <v>14</v>
      </c>
      <c r="AO25" s="52">
        <v>18</v>
      </c>
      <c r="AP25" s="52" t="s">
        <v>442</v>
      </c>
      <c r="AQ25" s="52">
        <v>4.5</v>
      </c>
      <c r="AR25" s="52">
        <v>5</v>
      </c>
      <c r="AS25" s="52">
        <v>5</v>
      </c>
      <c r="AT25" s="52">
        <v>5</v>
      </c>
      <c r="AU25" s="52">
        <v>19.5</v>
      </c>
      <c r="AV25" s="89">
        <f t="shared" si="0"/>
        <v>19.5</v>
      </c>
      <c r="AW25" s="23" t="s">
        <v>442</v>
      </c>
      <c r="AX25" s="82">
        <v>19.5</v>
      </c>
      <c r="AZ25" s="20">
        <v>13.2</v>
      </c>
      <c r="BA25" s="22">
        <v>42997</v>
      </c>
      <c r="BB25" s="23" t="s">
        <v>270</v>
      </c>
      <c r="BC25" s="22" t="s">
        <v>102</v>
      </c>
      <c r="BE25" s="62" t="s">
        <v>442</v>
      </c>
      <c r="BF25" s="62">
        <v>5</v>
      </c>
      <c r="BG25" s="62">
        <v>5</v>
      </c>
      <c r="BH25" s="62">
        <v>5</v>
      </c>
      <c r="BI25" s="62">
        <v>4.5</v>
      </c>
      <c r="BJ25" s="62">
        <v>19.5</v>
      </c>
      <c r="BK25" s="90">
        <f t="shared" si="1"/>
        <v>19.5</v>
      </c>
      <c r="BL25" s="83">
        <v>19.5</v>
      </c>
      <c r="BM25" s="52" t="s">
        <v>592</v>
      </c>
      <c r="BO25" s="99">
        <v>27</v>
      </c>
      <c r="BP25" s="99">
        <v>0</v>
      </c>
      <c r="CD25" s="51" t="s">
        <v>514</v>
      </c>
      <c r="CE25" s="47" t="s">
        <v>442</v>
      </c>
      <c r="CF25" s="70">
        <v>1</v>
      </c>
      <c r="CG25" s="70">
        <v>0.73329999999999995</v>
      </c>
      <c r="CH25" s="47" t="s">
        <v>570</v>
      </c>
      <c r="CK25" s="52" t="s">
        <v>624</v>
      </c>
    </row>
    <row r="26" spans="1:89" ht="17" customHeight="1">
      <c r="A26" s="23">
        <v>26</v>
      </c>
      <c r="B26" s="23" t="s">
        <v>203</v>
      </c>
      <c r="C26" s="20">
        <v>13.2</v>
      </c>
      <c r="D26" s="22">
        <v>6</v>
      </c>
      <c r="E26" s="22" t="s">
        <v>423</v>
      </c>
      <c r="F26" s="20">
        <v>13.2</v>
      </c>
      <c r="G26" s="22">
        <v>43038</v>
      </c>
      <c r="H26" s="20">
        <v>13.2</v>
      </c>
      <c r="I26" s="23" t="s">
        <v>272</v>
      </c>
      <c r="J26" s="116">
        <v>0.8</v>
      </c>
      <c r="K26" s="114">
        <v>0.86670000000000003</v>
      </c>
      <c r="L26" s="114"/>
      <c r="M26" s="114"/>
      <c r="N26" s="114"/>
      <c r="O26" s="114"/>
      <c r="P26" s="114"/>
      <c r="Q26" s="114"/>
      <c r="R26" s="81">
        <v>17</v>
      </c>
      <c r="S26" s="81">
        <v>16</v>
      </c>
      <c r="T26" s="82">
        <v>19</v>
      </c>
      <c r="U26" s="83">
        <v>19</v>
      </c>
      <c r="V26" s="23" t="s">
        <v>273</v>
      </c>
      <c r="W26" s="22" t="s">
        <v>105</v>
      </c>
      <c r="X26" s="23" t="s">
        <v>409</v>
      </c>
      <c r="Y26" s="23" t="s">
        <v>441</v>
      </c>
      <c r="Z26" s="23">
        <v>-6</v>
      </c>
      <c r="AA26" s="47">
        <v>24</v>
      </c>
      <c r="AB26" s="70">
        <v>0.8</v>
      </c>
      <c r="AC26" s="47" t="s">
        <v>441</v>
      </c>
      <c r="AD26" s="71">
        <v>18</v>
      </c>
      <c r="AE26" s="71">
        <v>8</v>
      </c>
      <c r="AF26" s="69"/>
      <c r="AG26" s="72"/>
      <c r="AH26" s="52">
        <v>18</v>
      </c>
      <c r="AI26" s="52">
        <v>8</v>
      </c>
      <c r="AJ26" s="52">
        <v>26</v>
      </c>
      <c r="AK26" s="91">
        <v>0.86670000000000003</v>
      </c>
      <c r="AL26" s="70">
        <v>0.8</v>
      </c>
      <c r="AM26" s="91">
        <v>0.86670000000000003</v>
      </c>
      <c r="AN26" s="52">
        <v>17</v>
      </c>
      <c r="AO26" s="52">
        <v>16</v>
      </c>
      <c r="AP26" s="52" t="s">
        <v>441</v>
      </c>
      <c r="AQ26" s="52">
        <v>4.25</v>
      </c>
      <c r="AR26" s="52">
        <v>5</v>
      </c>
      <c r="AS26" s="52">
        <v>4.75</v>
      </c>
      <c r="AT26" s="52">
        <v>5</v>
      </c>
      <c r="AU26" s="52">
        <v>19</v>
      </c>
      <c r="AV26" s="89">
        <f t="shared" si="0"/>
        <v>19</v>
      </c>
      <c r="AW26" s="23" t="s">
        <v>441</v>
      </c>
      <c r="AX26" s="82">
        <v>19</v>
      </c>
      <c r="AZ26" s="20">
        <v>13.2</v>
      </c>
      <c r="BA26" s="22">
        <v>43038</v>
      </c>
      <c r="BB26" s="23" t="s">
        <v>272</v>
      </c>
      <c r="BC26" s="22" t="s">
        <v>105</v>
      </c>
      <c r="BE26" s="62" t="s">
        <v>441</v>
      </c>
      <c r="BF26" s="62">
        <v>5</v>
      </c>
      <c r="BG26" s="62">
        <v>5</v>
      </c>
      <c r="BH26" s="62">
        <v>4.5</v>
      </c>
      <c r="BI26" s="62">
        <v>4.5</v>
      </c>
      <c r="BJ26" s="62">
        <v>19</v>
      </c>
      <c r="BK26" s="90">
        <f t="shared" si="1"/>
        <v>19</v>
      </c>
      <c r="BL26" s="83">
        <v>19</v>
      </c>
      <c r="BM26" s="52" t="s">
        <v>591</v>
      </c>
      <c r="BO26" s="99">
        <v>18</v>
      </c>
      <c r="BP26" s="99">
        <v>0</v>
      </c>
      <c r="CD26" s="51" t="s">
        <v>515</v>
      </c>
      <c r="CE26" s="47" t="s">
        <v>441</v>
      </c>
      <c r="CF26" s="70">
        <v>0.8</v>
      </c>
      <c r="CG26" s="70">
        <v>0.86670000000000003</v>
      </c>
      <c r="CH26" s="47" t="s">
        <v>579</v>
      </c>
      <c r="CK26" s="52" t="s">
        <v>591</v>
      </c>
    </row>
    <row r="27" spans="1:89" ht="17" customHeight="1">
      <c r="A27" s="23">
        <v>27</v>
      </c>
      <c r="B27" s="23" t="s">
        <v>204</v>
      </c>
      <c r="C27" s="20">
        <v>13.2</v>
      </c>
      <c r="D27" s="22">
        <v>7</v>
      </c>
      <c r="E27" s="22" t="s">
        <v>424</v>
      </c>
      <c r="F27" s="20">
        <v>13.2</v>
      </c>
      <c r="G27" s="22">
        <v>43049</v>
      </c>
      <c r="H27" s="20">
        <v>13.2</v>
      </c>
      <c r="I27" s="23" t="s">
        <v>274</v>
      </c>
      <c r="J27" s="116">
        <v>1</v>
      </c>
      <c r="K27" s="114">
        <v>0.9667</v>
      </c>
      <c r="L27" s="114"/>
      <c r="M27" s="114"/>
      <c r="N27" s="114"/>
      <c r="O27" s="114"/>
      <c r="P27" s="114"/>
      <c r="Q27" s="114"/>
      <c r="R27" s="81">
        <v>20</v>
      </c>
      <c r="S27" s="81">
        <v>20</v>
      </c>
      <c r="T27" s="82">
        <v>20</v>
      </c>
      <c r="U27" s="83">
        <v>20</v>
      </c>
      <c r="V27" s="23" t="s">
        <v>275</v>
      </c>
      <c r="W27" s="22" t="s">
        <v>108</v>
      </c>
      <c r="X27" s="23" t="s">
        <v>408</v>
      </c>
      <c r="Y27" s="23" t="s">
        <v>439</v>
      </c>
      <c r="Z27" s="23">
        <v>30</v>
      </c>
      <c r="AA27" s="47">
        <v>30</v>
      </c>
      <c r="AB27" s="70">
        <v>1</v>
      </c>
      <c r="AC27" s="47" t="s">
        <v>439</v>
      </c>
      <c r="AD27" s="71">
        <v>20</v>
      </c>
      <c r="AE27" s="71">
        <v>9</v>
      </c>
      <c r="AF27" s="69"/>
      <c r="AG27" s="72"/>
      <c r="AH27" s="52">
        <v>20</v>
      </c>
      <c r="AI27" s="52">
        <v>9</v>
      </c>
      <c r="AJ27" s="52">
        <v>29</v>
      </c>
      <c r="AK27" s="95">
        <v>0.9667</v>
      </c>
      <c r="AL27" s="70">
        <v>1</v>
      </c>
      <c r="AM27" s="95">
        <v>0.9667</v>
      </c>
      <c r="AN27" s="52">
        <v>20</v>
      </c>
      <c r="AO27" s="52">
        <v>20</v>
      </c>
      <c r="AP27" s="52" t="s">
        <v>439</v>
      </c>
      <c r="AQ27" s="52">
        <v>5</v>
      </c>
      <c r="AR27" s="52">
        <v>5</v>
      </c>
      <c r="AS27" s="52">
        <v>5</v>
      </c>
      <c r="AT27" s="52">
        <v>5</v>
      </c>
      <c r="AU27" s="52">
        <v>20</v>
      </c>
      <c r="AV27" s="89">
        <f t="shared" si="0"/>
        <v>20</v>
      </c>
      <c r="AW27" s="23" t="s">
        <v>439</v>
      </c>
      <c r="AX27" s="82">
        <v>20</v>
      </c>
      <c r="AZ27" s="20">
        <v>13.2</v>
      </c>
      <c r="BA27" s="22">
        <v>43049</v>
      </c>
      <c r="BB27" s="23" t="s">
        <v>274</v>
      </c>
      <c r="BC27" s="22" t="s">
        <v>108</v>
      </c>
      <c r="BE27" s="62" t="s">
        <v>439</v>
      </c>
      <c r="BF27" s="62">
        <v>5</v>
      </c>
      <c r="BG27" s="62">
        <v>5</v>
      </c>
      <c r="BH27" s="62">
        <v>5</v>
      </c>
      <c r="BI27" s="62">
        <v>5</v>
      </c>
      <c r="BJ27" s="62">
        <v>20</v>
      </c>
      <c r="BK27" s="90">
        <f t="shared" si="1"/>
        <v>20</v>
      </c>
      <c r="BL27" s="83">
        <v>20</v>
      </c>
      <c r="BM27" s="52" t="s">
        <v>591</v>
      </c>
      <c r="BO27" s="99">
        <v>30</v>
      </c>
      <c r="BP27" s="99">
        <v>0</v>
      </c>
      <c r="CD27" s="51" t="s">
        <v>516</v>
      </c>
      <c r="CE27" s="47" t="s">
        <v>439</v>
      </c>
      <c r="CF27" s="70">
        <v>1</v>
      </c>
      <c r="CG27" s="70">
        <v>0.9667</v>
      </c>
      <c r="CH27" s="47" t="s">
        <v>575</v>
      </c>
      <c r="CK27" s="52" t="s">
        <v>591</v>
      </c>
    </row>
    <row r="28" spans="1:89" ht="17" customHeight="1">
      <c r="A28" s="23">
        <v>28</v>
      </c>
      <c r="B28" s="23" t="s">
        <v>204</v>
      </c>
      <c r="C28" s="20">
        <v>13.2</v>
      </c>
      <c r="D28" s="22">
        <v>8</v>
      </c>
      <c r="E28" s="22" t="s">
        <v>425</v>
      </c>
      <c r="F28" s="20">
        <v>13.2</v>
      </c>
      <c r="G28" s="22">
        <v>43061</v>
      </c>
      <c r="H28" s="20">
        <v>13.2</v>
      </c>
      <c r="I28" s="23" t="s">
        <v>276</v>
      </c>
      <c r="J28" s="116">
        <v>1</v>
      </c>
      <c r="K28" s="114">
        <v>0.9667</v>
      </c>
      <c r="L28" s="114"/>
      <c r="M28" s="114"/>
      <c r="N28" s="114"/>
      <c r="O28" s="114"/>
      <c r="P28" s="114"/>
      <c r="Q28" s="114"/>
      <c r="R28" s="81">
        <v>20</v>
      </c>
      <c r="S28" s="81">
        <v>20</v>
      </c>
      <c r="T28" s="82">
        <v>20</v>
      </c>
      <c r="U28" s="83">
        <v>20</v>
      </c>
      <c r="V28" s="23" t="s">
        <v>277</v>
      </c>
      <c r="W28" s="22" t="s">
        <v>111</v>
      </c>
      <c r="X28" s="23" t="s">
        <v>405</v>
      </c>
      <c r="Y28" s="23" t="s">
        <v>451</v>
      </c>
      <c r="Z28" s="23">
        <v>30</v>
      </c>
      <c r="AA28" s="47">
        <v>30</v>
      </c>
      <c r="AB28" s="70">
        <v>1</v>
      </c>
      <c r="AC28" s="47" t="s">
        <v>451</v>
      </c>
      <c r="AD28" s="71">
        <v>20</v>
      </c>
      <c r="AE28" s="71">
        <v>9</v>
      </c>
      <c r="AF28" s="69"/>
      <c r="AG28" s="72"/>
      <c r="AH28" s="52">
        <v>20</v>
      </c>
      <c r="AI28" s="52">
        <v>9</v>
      </c>
      <c r="AJ28" s="52">
        <v>29</v>
      </c>
      <c r="AK28" s="95">
        <v>0.9667</v>
      </c>
      <c r="AL28" s="70">
        <v>1</v>
      </c>
      <c r="AM28" s="95">
        <v>0.9667</v>
      </c>
      <c r="AN28" s="52">
        <v>20</v>
      </c>
      <c r="AO28" s="52">
        <v>20</v>
      </c>
      <c r="AP28" s="52" t="s">
        <v>451</v>
      </c>
      <c r="AQ28" s="52">
        <v>5</v>
      </c>
      <c r="AR28" s="52">
        <v>5</v>
      </c>
      <c r="AS28" s="52">
        <v>5</v>
      </c>
      <c r="AT28" s="52">
        <v>5</v>
      </c>
      <c r="AU28" s="52">
        <v>20</v>
      </c>
      <c r="AV28" s="89">
        <f t="shared" si="0"/>
        <v>20</v>
      </c>
      <c r="AW28" s="23" t="s">
        <v>451</v>
      </c>
      <c r="AX28" s="82">
        <v>20</v>
      </c>
      <c r="AZ28" s="20">
        <v>13.2</v>
      </c>
      <c r="BA28" s="22">
        <v>43061</v>
      </c>
      <c r="BB28" s="23" t="s">
        <v>276</v>
      </c>
      <c r="BC28" s="22" t="s">
        <v>111</v>
      </c>
      <c r="BE28" s="62" t="s">
        <v>451</v>
      </c>
      <c r="BF28" s="62">
        <v>5</v>
      </c>
      <c r="BG28" s="62">
        <v>5</v>
      </c>
      <c r="BH28" s="62">
        <v>5</v>
      </c>
      <c r="BI28" s="62">
        <v>5</v>
      </c>
      <c r="BJ28" s="62">
        <v>20</v>
      </c>
      <c r="BK28" s="90">
        <f t="shared" si="1"/>
        <v>20</v>
      </c>
      <c r="BL28" s="83">
        <v>20</v>
      </c>
      <c r="BM28" s="52" t="s">
        <v>591</v>
      </c>
      <c r="BO28" s="99">
        <v>30</v>
      </c>
      <c r="BP28" s="99">
        <v>0</v>
      </c>
      <c r="CD28" s="51" t="s">
        <v>517</v>
      </c>
      <c r="CE28" s="47" t="s">
        <v>451</v>
      </c>
      <c r="CF28" s="70">
        <v>1</v>
      </c>
      <c r="CG28" s="70">
        <v>0.9667</v>
      </c>
      <c r="CH28" s="47" t="s">
        <v>575</v>
      </c>
      <c r="CK28" s="52" t="s">
        <v>591</v>
      </c>
    </row>
    <row r="29" spans="1:89" ht="17" customHeight="1">
      <c r="A29" s="23">
        <v>29</v>
      </c>
      <c r="B29" s="23" t="s">
        <v>204</v>
      </c>
      <c r="C29" s="20">
        <v>13.2</v>
      </c>
      <c r="D29" s="22">
        <v>9</v>
      </c>
      <c r="E29" s="22" t="s">
        <v>426</v>
      </c>
      <c r="F29" s="20">
        <v>13.2</v>
      </c>
      <c r="G29" s="22">
        <v>43071</v>
      </c>
      <c r="H29" s="20">
        <v>13.2</v>
      </c>
      <c r="I29" s="23" t="s">
        <v>278</v>
      </c>
      <c r="J29" s="116">
        <v>1</v>
      </c>
      <c r="K29" s="114">
        <v>1</v>
      </c>
      <c r="L29" s="114"/>
      <c r="M29" s="114"/>
      <c r="N29" s="114"/>
      <c r="O29" s="114"/>
      <c r="P29" s="114"/>
      <c r="Q29" s="114"/>
      <c r="R29" s="81">
        <v>19</v>
      </c>
      <c r="S29" s="81">
        <v>18</v>
      </c>
      <c r="T29" s="82">
        <v>20</v>
      </c>
      <c r="U29" s="83">
        <v>20</v>
      </c>
      <c r="V29" s="23" t="s">
        <v>279</v>
      </c>
      <c r="W29" s="22" t="s">
        <v>114</v>
      </c>
      <c r="X29" s="20"/>
      <c r="Y29" s="20" t="s">
        <v>443</v>
      </c>
      <c r="Z29" s="23">
        <v>30</v>
      </c>
      <c r="AA29" s="47">
        <v>30</v>
      </c>
      <c r="AB29" s="70">
        <v>1</v>
      </c>
      <c r="AC29" s="47" t="s">
        <v>443</v>
      </c>
      <c r="AD29" s="71">
        <v>20</v>
      </c>
      <c r="AE29" s="71">
        <v>10</v>
      </c>
      <c r="AF29" s="69"/>
      <c r="AG29" s="72"/>
      <c r="AH29" s="52">
        <v>20</v>
      </c>
      <c r="AI29" s="52">
        <v>10</v>
      </c>
      <c r="AJ29" s="52">
        <v>30</v>
      </c>
      <c r="AK29" s="91">
        <v>1</v>
      </c>
      <c r="AL29" s="70">
        <v>1</v>
      </c>
      <c r="AM29" s="91">
        <v>1</v>
      </c>
      <c r="AN29" s="52">
        <v>19</v>
      </c>
      <c r="AO29" s="52">
        <v>18</v>
      </c>
      <c r="AP29" s="52" t="s">
        <v>443</v>
      </c>
      <c r="AQ29" s="52">
        <v>5</v>
      </c>
      <c r="AR29" s="52">
        <v>5</v>
      </c>
      <c r="AS29" s="52">
        <v>5</v>
      </c>
      <c r="AT29" s="52">
        <v>5</v>
      </c>
      <c r="AU29" s="52">
        <v>20</v>
      </c>
      <c r="AV29" s="89">
        <f t="shared" si="0"/>
        <v>20</v>
      </c>
      <c r="AW29" s="20" t="s">
        <v>443</v>
      </c>
      <c r="AX29" s="82">
        <v>20</v>
      </c>
      <c r="AZ29" s="20">
        <v>13.2</v>
      </c>
      <c r="BA29" s="22">
        <v>43071</v>
      </c>
      <c r="BB29" s="23" t="s">
        <v>278</v>
      </c>
      <c r="BC29" s="22" t="s">
        <v>114</v>
      </c>
      <c r="BE29" s="62" t="s">
        <v>443</v>
      </c>
      <c r="BF29" s="62">
        <v>5</v>
      </c>
      <c r="BG29" s="62">
        <v>5</v>
      </c>
      <c r="BH29" s="62">
        <v>5</v>
      </c>
      <c r="BI29" s="62">
        <v>5</v>
      </c>
      <c r="BJ29" s="62">
        <v>20</v>
      </c>
      <c r="BK29" s="90">
        <f t="shared" si="1"/>
        <v>20</v>
      </c>
      <c r="BL29" s="83">
        <v>20</v>
      </c>
      <c r="BM29" s="52" t="s">
        <v>591</v>
      </c>
      <c r="BO29" s="99">
        <v>30</v>
      </c>
      <c r="BP29" s="99">
        <v>0</v>
      </c>
      <c r="CD29" s="51" t="s">
        <v>502</v>
      </c>
      <c r="CE29" s="47" t="s">
        <v>443</v>
      </c>
      <c r="CF29" s="70">
        <v>1</v>
      </c>
      <c r="CG29" s="70">
        <v>1</v>
      </c>
      <c r="CH29" s="47" t="s">
        <v>573</v>
      </c>
      <c r="CK29" s="52" t="s">
        <v>591</v>
      </c>
    </row>
    <row r="30" spans="1:89" ht="17" customHeight="1">
      <c r="A30" s="23">
        <v>30</v>
      </c>
      <c r="B30" s="23" t="s">
        <v>204</v>
      </c>
      <c r="C30" s="20">
        <v>13.2</v>
      </c>
      <c r="D30" s="22">
        <v>10</v>
      </c>
      <c r="E30" s="22" t="s">
        <v>427</v>
      </c>
      <c r="F30" s="20">
        <v>13.2</v>
      </c>
      <c r="G30" s="22">
        <v>43182</v>
      </c>
      <c r="H30" s="20">
        <v>13.2</v>
      </c>
      <c r="I30" s="23" t="s">
        <v>280</v>
      </c>
      <c r="J30" s="116">
        <v>0.86699999999999999</v>
      </c>
      <c r="K30" s="114">
        <v>0.63329999999999997</v>
      </c>
      <c r="L30" s="114"/>
      <c r="M30" s="114"/>
      <c r="N30" s="114"/>
      <c r="O30" s="114"/>
      <c r="P30" s="114"/>
      <c r="Q30" s="114"/>
      <c r="R30" s="81">
        <v>17</v>
      </c>
      <c r="S30" s="81">
        <v>17</v>
      </c>
      <c r="T30" s="82">
        <v>19.5</v>
      </c>
      <c r="U30" s="83">
        <v>19.5</v>
      </c>
      <c r="V30" s="23" t="s">
        <v>281</v>
      </c>
      <c r="W30" s="22" t="s">
        <v>117</v>
      </c>
      <c r="X30" s="20"/>
      <c r="Y30" s="20" t="s">
        <v>452</v>
      </c>
      <c r="Z30" s="23">
        <v>-4</v>
      </c>
      <c r="AA30" s="47">
        <v>26</v>
      </c>
      <c r="AB30" s="70">
        <v>0.86699999999999999</v>
      </c>
      <c r="AC30" s="47" t="s">
        <v>452</v>
      </c>
      <c r="AD30" s="71">
        <v>12</v>
      </c>
      <c r="AE30" s="71">
        <v>7</v>
      </c>
      <c r="AF30" s="69"/>
      <c r="AG30" s="72"/>
      <c r="AH30" s="52">
        <v>12</v>
      </c>
      <c r="AI30" s="52">
        <v>7</v>
      </c>
      <c r="AJ30" s="52">
        <v>19</v>
      </c>
      <c r="AK30" s="88">
        <v>0.63329999999999997</v>
      </c>
      <c r="AL30" s="70">
        <v>0.86699999999999999</v>
      </c>
      <c r="AM30" s="88">
        <v>0.63329999999999997</v>
      </c>
      <c r="AN30" s="52">
        <v>17</v>
      </c>
      <c r="AO30" s="52">
        <v>17</v>
      </c>
      <c r="AP30" s="52" t="s">
        <v>452</v>
      </c>
      <c r="AQ30" s="52">
        <v>4.5</v>
      </c>
      <c r="AR30" s="52">
        <v>5</v>
      </c>
      <c r="AS30" s="52">
        <v>5</v>
      </c>
      <c r="AT30" s="52">
        <v>5</v>
      </c>
      <c r="AU30" s="52">
        <v>19.5</v>
      </c>
      <c r="AV30" s="89">
        <f t="shared" si="0"/>
        <v>19.5</v>
      </c>
      <c r="AW30" s="20" t="s">
        <v>452</v>
      </c>
      <c r="AX30" s="82">
        <v>19.5</v>
      </c>
      <c r="AZ30" s="20">
        <v>13.2</v>
      </c>
      <c r="BA30" s="22">
        <v>43182</v>
      </c>
      <c r="BB30" s="23" t="s">
        <v>280</v>
      </c>
      <c r="BC30" s="22" t="s">
        <v>117</v>
      </c>
      <c r="BE30" s="62" t="s">
        <v>452</v>
      </c>
      <c r="BF30" s="62">
        <v>5</v>
      </c>
      <c r="BG30" s="62">
        <v>5</v>
      </c>
      <c r="BH30" s="62">
        <v>5</v>
      </c>
      <c r="BI30" s="62">
        <v>4.5</v>
      </c>
      <c r="BJ30" s="62">
        <v>19.5</v>
      </c>
      <c r="BK30" s="90">
        <f t="shared" si="1"/>
        <v>19.5</v>
      </c>
      <c r="BL30" s="83">
        <v>19.5</v>
      </c>
      <c r="BM30" s="52" t="s">
        <v>593</v>
      </c>
      <c r="BO30" s="99">
        <v>12</v>
      </c>
      <c r="BP30" s="99">
        <v>0</v>
      </c>
      <c r="CD30" s="51" t="s">
        <v>518</v>
      </c>
      <c r="CE30" s="47" t="s">
        <v>452</v>
      </c>
      <c r="CF30" s="70">
        <v>0.86699999999999999</v>
      </c>
      <c r="CG30" s="70">
        <v>0.63329999999999997</v>
      </c>
      <c r="CH30" s="47" t="s">
        <v>574</v>
      </c>
      <c r="CK30" s="52" t="s">
        <v>625</v>
      </c>
    </row>
    <row r="31" spans="1:89" ht="17" customHeight="1">
      <c r="A31" s="23">
        <v>31</v>
      </c>
      <c r="B31" s="23" t="s">
        <v>205</v>
      </c>
      <c r="C31" s="20">
        <v>13.2</v>
      </c>
      <c r="D31" s="22">
        <v>11</v>
      </c>
      <c r="E31" s="22" t="s">
        <v>428</v>
      </c>
      <c r="F31" s="20">
        <v>13.2</v>
      </c>
      <c r="G31" s="22">
        <v>43224</v>
      </c>
      <c r="H31" s="20">
        <v>13.2</v>
      </c>
      <c r="I31" s="23" t="s">
        <v>282</v>
      </c>
      <c r="J31" s="116">
        <v>0.86699999999999999</v>
      </c>
      <c r="K31" s="114">
        <v>0.66669999999999996</v>
      </c>
      <c r="L31" s="114"/>
      <c r="M31" s="114"/>
      <c r="N31" s="114"/>
      <c r="O31" s="114"/>
      <c r="P31" s="114"/>
      <c r="Q31" s="114"/>
      <c r="R31" s="81">
        <v>16</v>
      </c>
      <c r="S31" s="81">
        <v>19</v>
      </c>
      <c r="T31" s="82">
        <v>19.5</v>
      </c>
      <c r="U31" s="83">
        <v>19.5</v>
      </c>
      <c r="V31" s="23" t="s">
        <v>283</v>
      </c>
      <c r="W31" s="22" t="s">
        <v>120</v>
      </c>
      <c r="X31" s="23" t="s">
        <v>404</v>
      </c>
      <c r="Y31" s="23" t="s">
        <v>453</v>
      </c>
      <c r="Z31" s="23">
        <v>-4</v>
      </c>
      <c r="AA31" s="47">
        <v>26</v>
      </c>
      <c r="AB31" s="70">
        <v>0.86699999999999999</v>
      </c>
      <c r="AC31" s="47" t="s">
        <v>453</v>
      </c>
      <c r="AD31" s="71">
        <v>12</v>
      </c>
      <c r="AE31" s="71">
        <v>8</v>
      </c>
      <c r="AF31" s="69"/>
      <c r="AG31" s="72"/>
      <c r="AH31" s="52">
        <v>12</v>
      </c>
      <c r="AI31" s="52">
        <v>8</v>
      </c>
      <c r="AJ31" s="52">
        <v>20</v>
      </c>
      <c r="AK31" s="88">
        <v>0.66669999999999996</v>
      </c>
      <c r="AL31" s="70">
        <v>0.86699999999999999</v>
      </c>
      <c r="AM31" s="88">
        <v>0.66669999999999996</v>
      </c>
      <c r="AN31" s="52">
        <v>16</v>
      </c>
      <c r="AO31" s="52">
        <v>19</v>
      </c>
      <c r="AP31" s="52" t="s">
        <v>453</v>
      </c>
      <c r="AQ31" s="52">
        <v>4.5</v>
      </c>
      <c r="AR31" s="52">
        <v>5</v>
      </c>
      <c r="AS31" s="52">
        <v>5</v>
      </c>
      <c r="AT31" s="52">
        <v>5</v>
      </c>
      <c r="AU31" s="52">
        <v>19.5</v>
      </c>
      <c r="AV31" s="89">
        <f t="shared" si="0"/>
        <v>19.5</v>
      </c>
      <c r="AW31" s="23" t="s">
        <v>453</v>
      </c>
      <c r="AX31" s="82">
        <v>19.5</v>
      </c>
      <c r="AZ31" s="20">
        <v>13.2</v>
      </c>
      <c r="BA31" s="22">
        <v>43224</v>
      </c>
      <c r="BB31" s="23" t="s">
        <v>282</v>
      </c>
      <c r="BC31" s="22" t="s">
        <v>120</v>
      </c>
      <c r="BE31" s="62" t="s">
        <v>453</v>
      </c>
      <c r="BF31" s="62">
        <v>5</v>
      </c>
      <c r="BG31" s="62">
        <v>5</v>
      </c>
      <c r="BH31" s="62">
        <v>5</v>
      </c>
      <c r="BI31" s="62">
        <v>4.5</v>
      </c>
      <c r="BJ31" s="62">
        <v>19.5</v>
      </c>
      <c r="BK31" s="90">
        <f t="shared" si="1"/>
        <v>19.5</v>
      </c>
      <c r="BL31" s="83">
        <v>19.5</v>
      </c>
      <c r="BM31" s="52" t="s">
        <v>593</v>
      </c>
      <c r="BO31" s="98"/>
      <c r="BP31" s="99">
        <v>0</v>
      </c>
      <c r="CD31" s="51" t="s">
        <v>519</v>
      </c>
      <c r="CE31" s="47" t="s">
        <v>453</v>
      </c>
      <c r="CF31" s="70">
        <v>0.86699999999999999</v>
      </c>
      <c r="CG31" s="70">
        <v>0.66669999999999996</v>
      </c>
      <c r="CH31" s="47" t="s">
        <v>574</v>
      </c>
      <c r="CK31" s="52" t="s">
        <v>625</v>
      </c>
    </row>
    <row r="32" spans="1:89" ht="17" customHeight="1">
      <c r="A32" s="23">
        <v>32</v>
      </c>
      <c r="B32" s="23" t="s">
        <v>205</v>
      </c>
      <c r="C32" s="20">
        <v>13.2</v>
      </c>
      <c r="D32" s="22">
        <v>12</v>
      </c>
      <c r="E32" s="22" t="s">
        <v>429</v>
      </c>
      <c r="F32" s="20">
        <v>13.2</v>
      </c>
      <c r="G32" s="22">
        <v>43251</v>
      </c>
      <c r="H32" s="20">
        <v>13.2</v>
      </c>
      <c r="I32" s="23" t="s">
        <v>284</v>
      </c>
      <c r="J32" s="116">
        <v>1</v>
      </c>
      <c r="K32" s="114">
        <v>0.9667</v>
      </c>
      <c r="L32" s="114"/>
      <c r="M32" s="114"/>
      <c r="N32" s="114"/>
      <c r="O32" s="114"/>
      <c r="P32" s="114"/>
      <c r="Q32" s="114"/>
      <c r="R32" s="81">
        <v>20</v>
      </c>
      <c r="S32" s="81">
        <v>20</v>
      </c>
      <c r="T32" s="82">
        <v>19.5</v>
      </c>
      <c r="U32" s="83">
        <v>19.5</v>
      </c>
      <c r="V32" s="23" t="s">
        <v>285</v>
      </c>
      <c r="W32" s="22" t="s">
        <v>123</v>
      </c>
      <c r="X32" s="23" t="s">
        <v>123</v>
      </c>
      <c r="Y32" s="23" t="s">
        <v>440</v>
      </c>
      <c r="Z32" s="23">
        <v>30</v>
      </c>
      <c r="AA32" s="47">
        <v>30</v>
      </c>
      <c r="AB32" s="70">
        <v>1</v>
      </c>
      <c r="AC32" s="47" t="s">
        <v>440</v>
      </c>
      <c r="AD32" s="71">
        <v>19</v>
      </c>
      <c r="AE32" s="71">
        <v>10</v>
      </c>
      <c r="AF32" s="69"/>
      <c r="AG32" s="72"/>
      <c r="AH32" s="52">
        <v>19</v>
      </c>
      <c r="AI32" s="52">
        <v>10</v>
      </c>
      <c r="AJ32" s="52">
        <v>29</v>
      </c>
      <c r="AK32" s="95">
        <v>0.9667</v>
      </c>
      <c r="AL32" s="70">
        <v>1</v>
      </c>
      <c r="AM32" s="95">
        <v>0.9667</v>
      </c>
      <c r="AN32" s="52">
        <v>20</v>
      </c>
      <c r="AO32" s="52">
        <v>20</v>
      </c>
      <c r="AP32" s="52" t="s">
        <v>440</v>
      </c>
      <c r="AQ32" s="52">
        <v>4.5</v>
      </c>
      <c r="AR32" s="52">
        <v>5</v>
      </c>
      <c r="AS32" s="52">
        <v>5</v>
      </c>
      <c r="AT32" s="52">
        <v>5</v>
      </c>
      <c r="AU32" s="52">
        <v>19.5</v>
      </c>
      <c r="AV32" s="89">
        <f t="shared" si="0"/>
        <v>19.5</v>
      </c>
      <c r="AW32" s="23" t="s">
        <v>440</v>
      </c>
      <c r="AX32" s="82">
        <v>19.5</v>
      </c>
      <c r="AZ32" s="20">
        <v>13.2</v>
      </c>
      <c r="BA32" s="22">
        <v>43251</v>
      </c>
      <c r="BB32" s="23" t="s">
        <v>284</v>
      </c>
      <c r="BC32" s="22" t="s">
        <v>123</v>
      </c>
      <c r="BE32" s="62" t="s">
        <v>440</v>
      </c>
      <c r="BF32" s="62">
        <v>5</v>
      </c>
      <c r="BG32" s="62">
        <v>5</v>
      </c>
      <c r="BH32" s="62">
        <v>5</v>
      </c>
      <c r="BI32" s="62">
        <v>4.5</v>
      </c>
      <c r="BJ32" s="62">
        <v>19.5</v>
      </c>
      <c r="BK32" s="90">
        <f t="shared" si="1"/>
        <v>19.5</v>
      </c>
      <c r="BL32" s="83">
        <v>19.5</v>
      </c>
      <c r="BM32" s="52" t="s">
        <v>591</v>
      </c>
      <c r="BO32" s="99">
        <v>27</v>
      </c>
      <c r="BP32" s="99">
        <v>0</v>
      </c>
      <c r="CD32" s="51" t="s">
        <v>520</v>
      </c>
      <c r="CE32" s="47" t="s">
        <v>440</v>
      </c>
      <c r="CF32" s="70">
        <v>1</v>
      </c>
      <c r="CG32" s="70">
        <v>0.9667</v>
      </c>
      <c r="CH32" s="47" t="s">
        <v>575</v>
      </c>
      <c r="CK32" s="52" t="s">
        <v>591</v>
      </c>
    </row>
    <row r="33" spans="1:89" ht="17" customHeight="1">
      <c r="A33" s="23">
        <v>33</v>
      </c>
      <c r="B33" s="23" t="s">
        <v>205</v>
      </c>
      <c r="C33" s="20">
        <v>13.2</v>
      </c>
      <c r="D33" s="22">
        <v>13</v>
      </c>
      <c r="E33" s="22" t="s">
        <v>430</v>
      </c>
      <c r="F33" s="20">
        <v>13.2</v>
      </c>
      <c r="G33" s="22">
        <v>43255</v>
      </c>
      <c r="H33" s="20">
        <v>13.2</v>
      </c>
      <c r="I33" s="23" t="s">
        <v>286</v>
      </c>
      <c r="J33" s="116">
        <v>0.6</v>
      </c>
      <c r="K33" s="114">
        <v>0.5</v>
      </c>
      <c r="L33" s="114"/>
      <c r="M33" s="114"/>
      <c r="N33" s="114"/>
      <c r="O33" s="114"/>
      <c r="P33" s="114"/>
      <c r="Q33" s="114"/>
      <c r="R33" s="81">
        <v>13</v>
      </c>
      <c r="S33" s="81">
        <v>15</v>
      </c>
      <c r="T33" s="82">
        <v>18.5</v>
      </c>
      <c r="U33" s="83">
        <v>18.5</v>
      </c>
      <c r="V33" s="23" t="s">
        <v>287</v>
      </c>
      <c r="W33" s="22" t="s">
        <v>86</v>
      </c>
      <c r="X33" s="23" t="s">
        <v>86</v>
      </c>
      <c r="Y33" s="23" t="s">
        <v>454</v>
      </c>
      <c r="Z33" s="23">
        <v>-12</v>
      </c>
      <c r="AA33" s="47">
        <v>18</v>
      </c>
      <c r="AB33" s="70">
        <v>0.6</v>
      </c>
      <c r="AC33" s="47" t="s">
        <v>454</v>
      </c>
      <c r="AD33" s="71">
        <v>7</v>
      </c>
      <c r="AE33" s="71">
        <v>8</v>
      </c>
      <c r="AF33" s="69"/>
      <c r="AG33" s="72"/>
      <c r="AH33" s="52">
        <v>7</v>
      </c>
      <c r="AI33" s="52">
        <v>8</v>
      </c>
      <c r="AJ33" s="52">
        <v>15</v>
      </c>
      <c r="AK33" s="88">
        <v>0.5</v>
      </c>
      <c r="AL33" s="70">
        <v>0.6</v>
      </c>
      <c r="AM33" s="88">
        <v>0.5</v>
      </c>
      <c r="AN33" s="52">
        <v>13</v>
      </c>
      <c r="AO33" s="52">
        <v>15</v>
      </c>
      <c r="AP33" s="52" t="s">
        <v>454</v>
      </c>
      <c r="AQ33" s="52">
        <v>4</v>
      </c>
      <c r="AR33" s="52">
        <v>4.75</v>
      </c>
      <c r="AS33" s="52">
        <v>4.75</v>
      </c>
      <c r="AT33" s="52">
        <v>5</v>
      </c>
      <c r="AU33" s="52">
        <v>18.5</v>
      </c>
      <c r="AV33" s="89">
        <f t="shared" si="0"/>
        <v>18.5</v>
      </c>
      <c r="AW33" s="23" t="s">
        <v>454</v>
      </c>
      <c r="AX33" s="82">
        <v>18.5</v>
      </c>
      <c r="AZ33" s="20">
        <v>13.2</v>
      </c>
      <c r="BA33" s="22">
        <v>43255</v>
      </c>
      <c r="BB33" s="23" t="s">
        <v>286</v>
      </c>
      <c r="BC33" s="22" t="s">
        <v>86</v>
      </c>
      <c r="BE33" s="62" t="s">
        <v>454</v>
      </c>
      <c r="BF33" s="62">
        <v>5</v>
      </c>
      <c r="BG33" s="62">
        <v>4.5</v>
      </c>
      <c r="BH33" s="62">
        <v>4.5</v>
      </c>
      <c r="BI33" s="62">
        <v>4.5</v>
      </c>
      <c r="BJ33" s="62">
        <v>18.5</v>
      </c>
      <c r="BK33" s="90">
        <f t="shared" si="1"/>
        <v>18.5</v>
      </c>
      <c r="BL33" s="83">
        <v>18.5</v>
      </c>
      <c r="BM33" s="52" t="s">
        <v>593</v>
      </c>
      <c r="BO33" s="99">
        <v>19</v>
      </c>
      <c r="BP33" s="99">
        <v>0</v>
      </c>
      <c r="CD33" s="51" t="s">
        <v>521</v>
      </c>
      <c r="CE33" s="47" t="s">
        <v>454</v>
      </c>
      <c r="CF33" s="70">
        <v>0.6</v>
      </c>
      <c r="CG33" s="70">
        <v>0.5</v>
      </c>
      <c r="CH33" s="47" t="s">
        <v>580</v>
      </c>
      <c r="CK33" s="52" t="s">
        <v>625</v>
      </c>
    </row>
    <row r="34" spans="1:89" s="57" customFormat="1" ht="17" customHeight="1">
      <c r="A34" s="54">
        <v>34</v>
      </c>
      <c r="B34" s="54"/>
      <c r="C34" s="54"/>
      <c r="D34" s="55"/>
      <c r="E34" s="55" t="s">
        <v>413</v>
      </c>
      <c r="F34" s="54">
        <v>0</v>
      </c>
      <c r="G34" s="55">
        <v>55555</v>
      </c>
      <c r="H34" s="54">
        <v>0</v>
      </c>
      <c r="I34" s="54" t="s">
        <v>412</v>
      </c>
      <c r="J34" s="117"/>
      <c r="K34" s="113"/>
      <c r="L34" s="113"/>
      <c r="M34" s="113"/>
      <c r="N34" s="113"/>
      <c r="O34" s="113"/>
      <c r="P34" s="113"/>
      <c r="Q34" s="113"/>
      <c r="V34" s="54" t="s">
        <v>416</v>
      </c>
      <c r="W34" s="55"/>
      <c r="X34" s="54"/>
      <c r="Y34" s="54" t="s">
        <v>445</v>
      </c>
      <c r="Z34" s="54"/>
      <c r="AA34" s="73"/>
      <c r="AB34" s="73"/>
      <c r="AC34" s="73" t="s">
        <v>445</v>
      </c>
      <c r="AD34" s="73"/>
      <c r="AE34" s="73"/>
      <c r="AF34" s="54"/>
      <c r="AG34" s="73"/>
      <c r="AL34" s="73"/>
      <c r="AP34" s="57" t="s">
        <v>445</v>
      </c>
      <c r="AV34" s="93">
        <f t="shared" si="0"/>
        <v>0</v>
      </c>
      <c r="AW34" s="54" t="s">
        <v>445</v>
      </c>
      <c r="AZ34" s="54">
        <v>0</v>
      </c>
      <c r="BA34" s="55">
        <v>55555</v>
      </c>
      <c r="BB34" s="54" t="s">
        <v>412</v>
      </c>
      <c r="BC34" s="55"/>
      <c r="BE34" s="94" t="s">
        <v>445</v>
      </c>
      <c r="BK34" s="93">
        <f t="shared" si="1"/>
        <v>0</v>
      </c>
      <c r="BM34" s="57" t="s">
        <v>591</v>
      </c>
      <c r="BO34" s="99"/>
      <c r="BP34" s="99">
        <v>0</v>
      </c>
      <c r="CD34" s="56" t="s">
        <v>522</v>
      </c>
      <c r="CE34" s="73" t="s">
        <v>445</v>
      </c>
      <c r="CK34" s="57" t="s">
        <v>591</v>
      </c>
    </row>
    <row r="35" spans="1:89" ht="17" customHeight="1">
      <c r="A35" s="23">
        <v>35</v>
      </c>
      <c r="B35" s="23" t="s">
        <v>205</v>
      </c>
      <c r="C35" s="20">
        <v>13.2</v>
      </c>
      <c r="D35" s="22">
        <v>14</v>
      </c>
      <c r="E35" s="22" t="s">
        <v>414</v>
      </c>
      <c r="F35" s="20">
        <v>13.2</v>
      </c>
      <c r="G35" s="22">
        <v>43427</v>
      </c>
      <c r="H35" s="20">
        <v>13.2</v>
      </c>
      <c r="I35" s="23" t="s">
        <v>288</v>
      </c>
      <c r="J35" s="116">
        <v>0.73299999999999998</v>
      </c>
      <c r="K35" s="114">
        <v>0.5333</v>
      </c>
      <c r="L35" s="114"/>
      <c r="M35" s="114"/>
      <c r="N35" s="114"/>
      <c r="O35" s="114"/>
      <c r="P35" s="114"/>
      <c r="Q35" s="114"/>
      <c r="R35" s="81">
        <v>11</v>
      </c>
      <c r="S35" s="81">
        <v>16</v>
      </c>
      <c r="T35" s="82">
        <v>19</v>
      </c>
      <c r="U35" s="83">
        <v>19</v>
      </c>
      <c r="V35" s="23" t="s">
        <v>289</v>
      </c>
      <c r="W35" s="22" t="s">
        <v>166</v>
      </c>
      <c r="X35" s="23" t="s">
        <v>406</v>
      </c>
      <c r="Y35" s="23" t="s">
        <v>455</v>
      </c>
      <c r="Z35" s="23">
        <v>-8</v>
      </c>
      <c r="AA35" s="47">
        <v>22</v>
      </c>
      <c r="AB35" s="70">
        <v>0.73299999999999998</v>
      </c>
      <c r="AC35" s="47" t="s">
        <v>455</v>
      </c>
      <c r="AD35" s="71">
        <v>6</v>
      </c>
      <c r="AE35" s="71">
        <v>10</v>
      </c>
      <c r="AF35" s="69"/>
      <c r="AG35" s="72"/>
      <c r="AH35" s="52">
        <v>6</v>
      </c>
      <c r="AI35" s="52">
        <v>10</v>
      </c>
      <c r="AJ35" s="52">
        <v>16</v>
      </c>
      <c r="AK35" s="88">
        <v>0.5333</v>
      </c>
      <c r="AL35" s="70">
        <v>0.73299999999999998</v>
      </c>
      <c r="AM35" s="88">
        <v>0.5333</v>
      </c>
      <c r="AN35" s="52">
        <v>11</v>
      </c>
      <c r="AO35" s="52">
        <v>16</v>
      </c>
      <c r="AP35" s="52" t="s">
        <v>455</v>
      </c>
      <c r="AQ35" s="52">
        <v>4.25</v>
      </c>
      <c r="AR35" s="52">
        <v>5</v>
      </c>
      <c r="AS35" s="52">
        <v>4.75</v>
      </c>
      <c r="AT35" s="52">
        <v>5</v>
      </c>
      <c r="AU35" s="52">
        <v>19</v>
      </c>
      <c r="AV35" s="89">
        <f t="shared" si="0"/>
        <v>19</v>
      </c>
      <c r="AW35" s="23" t="s">
        <v>455</v>
      </c>
      <c r="AX35" s="82">
        <v>19</v>
      </c>
      <c r="AZ35" s="20">
        <v>13.2</v>
      </c>
      <c r="BA35" s="22">
        <v>43427</v>
      </c>
      <c r="BB35" s="23" t="s">
        <v>288</v>
      </c>
      <c r="BC35" s="22" t="s">
        <v>166</v>
      </c>
      <c r="BE35" s="62" t="s">
        <v>455</v>
      </c>
      <c r="BF35" s="62">
        <v>5</v>
      </c>
      <c r="BG35" s="62">
        <v>5</v>
      </c>
      <c r="BH35" s="62">
        <v>4.5</v>
      </c>
      <c r="BI35" s="62">
        <v>4.5</v>
      </c>
      <c r="BJ35" s="62">
        <v>19</v>
      </c>
      <c r="BK35" s="90">
        <f t="shared" si="1"/>
        <v>19</v>
      </c>
      <c r="BL35" s="83">
        <v>19</v>
      </c>
      <c r="BM35" s="52" t="s">
        <v>593</v>
      </c>
      <c r="BO35" s="99">
        <v>13</v>
      </c>
      <c r="BP35" s="99">
        <v>0</v>
      </c>
      <c r="CD35" s="51" t="s">
        <v>523</v>
      </c>
      <c r="CE35" s="47" t="s">
        <v>455</v>
      </c>
      <c r="CF35" s="70">
        <v>0.73299999999999998</v>
      </c>
      <c r="CG35" s="70">
        <v>0.5333</v>
      </c>
      <c r="CH35" s="47" t="s">
        <v>574</v>
      </c>
      <c r="CK35" s="52" t="s">
        <v>625</v>
      </c>
    </row>
    <row r="36" spans="1:89" s="57" customFormat="1" ht="17" customHeight="1">
      <c r="A36" s="54">
        <v>36</v>
      </c>
      <c r="B36" s="54" t="s">
        <v>206</v>
      </c>
      <c r="C36" s="54">
        <v>14.1</v>
      </c>
      <c r="D36" s="55">
        <v>14.2</v>
      </c>
      <c r="E36" s="55" t="s">
        <v>417</v>
      </c>
      <c r="F36" s="54">
        <v>14.1</v>
      </c>
      <c r="G36" s="54">
        <v>14.1</v>
      </c>
      <c r="H36" s="54">
        <v>14.1</v>
      </c>
      <c r="I36" s="54">
        <v>14.1</v>
      </c>
      <c r="J36" s="117"/>
      <c r="K36" s="113"/>
      <c r="L36" s="113"/>
      <c r="M36" s="113"/>
      <c r="N36" s="113"/>
      <c r="O36" s="113"/>
      <c r="P36" s="113"/>
      <c r="Q36" s="113"/>
      <c r="V36" s="54" t="s">
        <v>233</v>
      </c>
      <c r="W36" s="55"/>
      <c r="X36" s="54"/>
      <c r="Y36" s="54"/>
      <c r="Z36" s="54"/>
      <c r="AA36" s="73"/>
      <c r="AB36" s="73"/>
      <c r="AC36" s="73"/>
      <c r="AD36" s="73"/>
      <c r="AE36" s="73"/>
      <c r="AF36" s="54"/>
      <c r="AG36" s="73"/>
      <c r="AL36" s="73"/>
      <c r="AV36" s="93">
        <f t="shared" si="0"/>
        <v>0</v>
      </c>
      <c r="AW36" s="54"/>
      <c r="AZ36" s="54">
        <v>14.1</v>
      </c>
      <c r="BA36" s="54">
        <v>14.1</v>
      </c>
      <c r="BB36" s="54">
        <v>14.1</v>
      </c>
      <c r="BC36" s="55"/>
      <c r="BE36" s="94"/>
      <c r="BF36" s="73"/>
      <c r="BG36" s="73"/>
      <c r="BH36" s="73"/>
      <c r="BI36" s="73"/>
      <c r="BJ36" s="73"/>
      <c r="BK36" s="93">
        <f t="shared" si="1"/>
        <v>0</v>
      </c>
      <c r="BM36" s="57" t="s">
        <v>591</v>
      </c>
      <c r="BO36" s="99"/>
      <c r="BP36" s="99">
        <v>0</v>
      </c>
      <c r="CE36" s="73"/>
      <c r="CK36" s="57" t="s">
        <v>591</v>
      </c>
    </row>
    <row r="37" spans="1:89" ht="17" customHeight="1">
      <c r="A37" s="23">
        <v>37</v>
      </c>
      <c r="B37" s="23" t="s">
        <v>202</v>
      </c>
      <c r="C37" s="20">
        <v>14.1</v>
      </c>
      <c r="D37" s="22">
        <v>1</v>
      </c>
      <c r="E37" s="22" t="s">
        <v>418</v>
      </c>
      <c r="F37" s="20">
        <v>14.1</v>
      </c>
      <c r="G37" s="22">
        <v>42973</v>
      </c>
      <c r="H37" s="20">
        <v>14.1</v>
      </c>
      <c r="I37" s="23" t="s">
        <v>290</v>
      </c>
      <c r="J37" s="116">
        <v>0.13300000000000001</v>
      </c>
      <c r="K37" s="114">
        <v>0.23330000000000001</v>
      </c>
      <c r="L37" s="114"/>
      <c r="M37" s="114"/>
      <c r="N37" s="114"/>
      <c r="O37" s="114"/>
      <c r="P37" s="114"/>
      <c r="Q37" s="114"/>
      <c r="R37" s="81">
        <v>5</v>
      </c>
      <c r="S37" s="81">
        <v>12</v>
      </c>
      <c r="T37" s="82">
        <v>17.5</v>
      </c>
      <c r="U37" s="83">
        <v>17.5</v>
      </c>
      <c r="V37" s="23" t="s">
        <v>291</v>
      </c>
      <c r="W37" s="22" t="s">
        <v>44</v>
      </c>
      <c r="X37" s="23" t="s">
        <v>213</v>
      </c>
      <c r="Y37" s="23" t="s">
        <v>444</v>
      </c>
      <c r="Z37" s="23">
        <v>-26</v>
      </c>
      <c r="AA37" s="47">
        <v>4</v>
      </c>
      <c r="AB37" s="70">
        <v>0.13300000000000001</v>
      </c>
      <c r="AC37" s="47" t="s">
        <v>444</v>
      </c>
      <c r="AD37" s="71">
        <v>2</v>
      </c>
      <c r="AE37" s="71">
        <v>5</v>
      </c>
      <c r="AF37" s="69"/>
      <c r="AG37" s="72"/>
      <c r="AH37" s="52">
        <v>2</v>
      </c>
      <c r="AI37" s="52">
        <v>5</v>
      </c>
      <c r="AJ37" s="52">
        <v>7</v>
      </c>
      <c r="AK37" s="91">
        <v>0.23330000000000001</v>
      </c>
      <c r="AL37" s="70">
        <v>0.13300000000000001</v>
      </c>
      <c r="AM37" s="91">
        <v>0.23330000000000001</v>
      </c>
      <c r="AN37" s="52">
        <v>5</v>
      </c>
      <c r="AO37" s="52">
        <v>12</v>
      </c>
      <c r="AP37" s="52" t="s">
        <v>444</v>
      </c>
      <c r="AQ37" s="52">
        <v>3.5</v>
      </c>
      <c r="AR37" s="52">
        <v>4.75</v>
      </c>
      <c r="AS37" s="52">
        <v>4.75</v>
      </c>
      <c r="AT37" s="52">
        <v>4.5</v>
      </c>
      <c r="AU37" s="52">
        <v>17.5</v>
      </c>
      <c r="AV37" s="89">
        <f t="shared" si="0"/>
        <v>17.5</v>
      </c>
      <c r="AW37" s="23" t="s">
        <v>444</v>
      </c>
      <c r="AX37" s="82">
        <v>17.5</v>
      </c>
      <c r="AZ37" s="20">
        <v>14.1</v>
      </c>
      <c r="BA37" s="22">
        <v>42973</v>
      </c>
      <c r="BB37" s="23" t="s">
        <v>290</v>
      </c>
      <c r="BC37" s="22" t="s">
        <v>44</v>
      </c>
      <c r="BE37" s="62" t="s">
        <v>444</v>
      </c>
      <c r="BF37" s="62">
        <v>4.5</v>
      </c>
      <c r="BG37" s="62">
        <v>4.5</v>
      </c>
      <c r="BH37" s="62">
        <v>4.5</v>
      </c>
      <c r="BI37" s="62">
        <v>4</v>
      </c>
      <c r="BJ37" s="62">
        <v>17.5</v>
      </c>
      <c r="BK37" s="90">
        <f t="shared" si="1"/>
        <v>17.5</v>
      </c>
      <c r="BL37" s="83">
        <v>17.5</v>
      </c>
      <c r="BM37" s="52" t="s">
        <v>593</v>
      </c>
      <c r="BO37" s="99">
        <v>12</v>
      </c>
      <c r="BP37" s="99">
        <v>0</v>
      </c>
      <c r="CD37" s="51" t="s">
        <v>524</v>
      </c>
      <c r="CE37" s="47" t="s">
        <v>444</v>
      </c>
      <c r="CF37" s="70">
        <v>0.13300000000000001</v>
      </c>
      <c r="CG37" s="70">
        <v>0.23330000000000001</v>
      </c>
      <c r="CH37" s="47" t="s">
        <v>581</v>
      </c>
      <c r="CK37" s="52" t="s">
        <v>625</v>
      </c>
    </row>
    <row r="38" spans="1:89" ht="17" customHeight="1">
      <c r="A38" s="23">
        <v>38</v>
      </c>
      <c r="B38" s="23" t="s">
        <v>202</v>
      </c>
      <c r="C38" s="20">
        <v>14.1</v>
      </c>
      <c r="D38" s="22">
        <v>2</v>
      </c>
      <c r="E38" s="22" t="s">
        <v>419</v>
      </c>
      <c r="F38" s="20">
        <v>14.1</v>
      </c>
      <c r="G38" s="22">
        <v>42983</v>
      </c>
      <c r="H38" s="20">
        <v>14.1</v>
      </c>
      <c r="I38" s="23" t="s">
        <v>292</v>
      </c>
      <c r="J38" s="116">
        <v>0.96699999999999997</v>
      </c>
      <c r="K38" s="114">
        <v>0.86670000000000003</v>
      </c>
      <c r="L38" s="114"/>
      <c r="M38" s="114"/>
      <c r="N38" s="114"/>
      <c r="O38" s="114"/>
      <c r="P38" s="114"/>
      <c r="Q38" s="114"/>
      <c r="R38" s="81">
        <v>19</v>
      </c>
      <c r="S38" s="81">
        <v>19</v>
      </c>
      <c r="T38" s="82">
        <v>19.5</v>
      </c>
      <c r="U38" s="83">
        <v>19.5</v>
      </c>
      <c r="V38" s="23" t="s">
        <v>293</v>
      </c>
      <c r="W38" s="22" t="s">
        <v>47</v>
      </c>
      <c r="X38" s="23" t="s">
        <v>47</v>
      </c>
      <c r="Y38" s="23" t="s">
        <v>446</v>
      </c>
      <c r="Z38" s="23">
        <v>-1</v>
      </c>
      <c r="AA38" s="47">
        <v>29</v>
      </c>
      <c r="AB38" s="70">
        <v>0.96699999999999997</v>
      </c>
      <c r="AC38" s="47" t="s">
        <v>446</v>
      </c>
      <c r="AD38" s="71">
        <v>17</v>
      </c>
      <c r="AE38" s="71">
        <v>9</v>
      </c>
      <c r="AF38" s="69"/>
      <c r="AG38" s="72"/>
      <c r="AH38" s="52">
        <v>17</v>
      </c>
      <c r="AI38" s="52">
        <v>9</v>
      </c>
      <c r="AJ38" s="52">
        <v>26</v>
      </c>
      <c r="AK38" s="88">
        <v>0.86670000000000003</v>
      </c>
      <c r="AL38" s="70">
        <v>0.96699999999999997</v>
      </c>
      <c r="AM38" s="88">
        <v>0.86670000000000003</v>
      </c>
      <c r="AN38" s="52">
        <v>19</v>
      </c>
      <c r="AO38" s="52">
        <v>19</v>
      </c>
      <c r="AP38" s="52" t="s">
        <v>446</v>
      </c>
      <c r="AQ38" s="52">
        <v>4.5</v>
      </c>
      <c r="AR38" s="52">
        <v>5</v>
      </c>
      <c r="AS38" s="52">
        <v>5</v>
      </c>
      <c r="AT38" s="52">
        <v>5</v>
      </c>
      <c r="AU38" s="52">
        <v>19.5</v>
      </c>
      <c r="AV38" s="89">
        <f t="shared" si="0"/>
        <v>19.5</v>
      </c>
      <c r="AW38" s="23" t="s">
        <v>446</v>
      </c>
      <c r="AX38" s="82">
        <v>19.5</v>
      </c>
      <c r="AZ38" s="20">
        <v>14.1</v>
      </c>
      <c r="BA38" s="22">
        <v>42983</v>
      </c>
      <c r="BB38" s="23" t="s">
        <v>292</v>
      </c>
      <c r="BC38" s="22" t="s">
        <v>47</v>
      </c>
      <c r="BE38" s="62" t="s">
        <v>446</v>
      </c>
      <c r="BF38" s="62">
        <v>5</v>
      </c>
      <c r="BG38" s="62">
        <v>5</v>
      </c>
      <c r="BH38" s="62">
        <v>5</v>
      </c>
      <c r="BI38" s="62">
        <v>4.5</v>
      </c>
      <c r="BJ38" s="62">
        <v>19.5</v>
      </c>
      <c r="BK38" s="90">
        <f t="shared" si="1"/>
        <v>19.5</v>
      </c>
      <c r="BL38" s="83">
        <v>19.5</v>
      </c>
      <c r="BM38" s="52" t="s">
        <v>592</v>
      </c>
      <c r="BO38" s="98">
        <v>26</v>
      </c>
      <c r="BP38" s="99">
        <v>0</v>
      </c>
      <c r="CD38" s="51" t="s">
        <v>525</v>
      </c>
      <c r="CE38" s="47" t="s">
        <v>446</v>
      </c>
      <c r="CF38" s="70">
        <v>0.96699999999999997</v>
      </c>
      <c r="CG38" s="70">
        <v>0.86670000000000003</v>
      </c>
      <c r="CH38" s="47" t="s">
        <v>576</v>
      </c>
      <c r="CK38" s="52" t="s">
        <v>624</v>
      </c>
    </row>
    <row r="39" spans="1:89" ht="17" customHeight="1">
      <c r="A39" s="23">
        <v>39</v>
      </c>
      <c r="B39" s="23" t="s">
        <v>202</v>
      </c>
      <c r="C39" s="20">
        <v>14.1</v>
      </c>
      <c r="D39" s="22">
        <v>3</v>
      </c>
      <c r="E39" s="22" t="s">
        <v>420</v>
      </c>
      <c r="F39" s="20">
        <v>14.1</v>
      </c>
      <c r="G39" s="22">
        <v>42998</v>
      </c>
      <c r="H39" s="20">
        <v>14.1</v>
      </c>
      <c r="I39" s="23" t="s">
        <v>294</v>
      </c>
      <c r="J39" s="116">
        <v>0.5</v>
      </c>
      <c r="K39" s="114">
        <v>0.6</v>
      </c>
      <c r="L39" s="114"/>
      <c r="M39" s="114"/>
      <c r="N39" s="114"/>
      <c r="O39" s="114"/>
      <c r="P39" s="114"/>
      <c r="Q39" s="114"/>
      <c r="R39" s="81">
        <v>12</v>
      </c>
      <c r="S39" s="81">
        <v>15</v>
      </c>
      <c r="T39" s="82">
        <v>17</v>
      </c>
      <c r="U39" s="83">
        <v>17</v>
      </c>
      <c r="V39" s="23" t="s">
        <v>295</v>
      </c>
      <c r="W39" s="19" t="s">
        <v>212</v>
      </c>
      <c r="X39" s="23" t="s">
        <v>212</v>
      </c>
      <c r="Y39" s="23" t="s">
        <v>447</v>
      </c>
      <c r="Z39" s="23">
        <v>-15</v>
      </c>
      <c r="AA39" s="47">
        <v>15</v>
      </c>
      <c r="AB39" s="70">
        <v>0.5</v>
      </c>
      <c r="AC39" s="47" t="s">
        <v>447</v>
      </c>
      <c r="AD39" s="71">
        <v>12</v>
      </c>
      <c r="AE39" s="71">
        <v>6</v>
      </c>
      <c r="AF39" s="69"/>
      <c r="AG39" s="72"/>
      <c r="AH39" s="52">
        <v>12</v>
      </c>
      <c r="AI39" s="52">
        <v>6</v>
      </c>
      <c r="AJ39" s="52">
        <v>18</v>
      </c>
      <c r="AK39" s="91">
        <v>0.6</v>
      </c>
      <c r="AL39" s="70">
        <v>0.5</v>
      </c>
      <c r="AM39" s="91">
        <v>0.6</v>
      </c>
      <c r="AN39" s="52">
        <v>12</v>
      </c>
      <c r="AO39" s="52">
        <v>15</v>
      </c>
      <c r="AP39" s="52" t="s">
        <v>447</v>
      </c>
      <c r="AQ39" s="52">
        <v>3.25</v>
      </c>
      <c r="AR39" s="52">
        <v>4.75</v>
      </c>
      <c r="AS39" s="52">
        <v>4.5</v>
      </c>
      <c r="AT39" s="52">
        <v>4.5</v>
      </c>
      <c r="AU39" s="52">
        <v>17</v>
      </c>
      <c r="AV39" s="89">
        <f t="shared" si="0"/>
        <v>17</v>
      </c>
      <c r="AW39" s="23" t="s">
        <v>447</v>
      </c>
      <c r="AX39" s="82">
        <v>17</v>
      </c>
      <c r="AZ39" s="20">
        <v>14.1</v>
      </c>
      <c r="BA39" s="22">
        <v>42998</v>
      </c>
      <c r="BB39" s="23" t="s">
        <v>294</v>
      </c>
      <c r="BC39" s="19" t="s">
        <v>212</v>
      </c>
      <c r="BE39" s="62" t="s">
        <v>447</v>
      </c>
      <c r="BF39" s="62">
        <v>4.5</v>
      </c>
      <c r="BG39" s="62">
        <v>4.5</v>
      </c>
      <c r="BH39" s="62">
        <v>4</v>
      </c>
      <c r="BI39" s="62">
        <v>4</v>
      </c>
      <c r="BJ39" s="62">
        <v>17</v>
      </c>
      <c r="BK39" s="90">
        <f t="shared" si="1"/>
        <v>17</v>
      </c>
      <c r="BL39" s="83">
        <v>17</v>
      </c>
      <c r="BM39" s="52" t="s">
        <v>591</v>
      </c>
      <c r="BO39" s="99">
        <v>14</v>
      </c>
      <c r="BP39" s="99">
        <v>0</v>
      </c>
      <c r="CD39" s="51" t="s">
        <v>526</v>
      </c>
      <c r="CE39" s="47" t="s">
        <v>447</v>
      </c>
      <c r="CF39" s="70">
        <v>0.5</v>
      </c>
      <c r="CG39" s="70">
        <v>0.6</v>
      </c>
      <c r="CH39" s="47" t="s">
        <v>582</v>
      </c>
      <c r="CK39" s="52" t="s">
        <v>591</v>
      </c>
    </row>
    <row r="40" spans="1:89" ht="17" customHeight="1">
      <c r="A40" s="23">
        <v>40</v>
      </c>
      <c r="B40" s="23" t="s">
        <v>203</v>
      </c>
      <c r="C40" s="20">
        <v>14.1</v>
      </c>
      <c r="D40" s="22">
        <v>4</v>
      </c>
      <c r="E40" s="22" t="s">
        <v>421</v>
      </c>
      <c r="F40" s="20">
        <v>14.1</v>
      </c>
      <c r="G40" s="22">
        <v>42999</v>
      </c>
      <c r="H40" s="20">
        <v>14.1</v>
      </c>
      <c r="I40" s="23" t="s">
        <v>296</v>
      </c>
      <c r="J40" s="116">
        <v>0.73299999999999998</v>
      </c>
      <c r="K40" s="114">
        <v>0.66669999999999996</v>
      </c>
      <c r="L40" s="114"/>
      <c r="M40" s="114"/>
      <c r="N40" s="114"/>
      <c r="O40" s="114"/>
      <c r="P40" s="114"/>
      <c r="Q40" s="114"/>
      <c r="R40" s="81">
        <v>13</v>
      </c>
      <c r="S40" s="81">
        <v>17</v>
      </c>
      <c r="T40" s="82">
        <v>18.5</v>
      </c>
      <c r="U40" s="83">
        <v>18.5</v>
      </c>
      <c r="V40" s="23" t="s">
        <v>297</v>
      </c>
      <c r="W40" s="22" t="s">
        <v>53</v>
      </c>
      <c r="X40" s="23" t="s">
        <v>211</v>
      </c>
      <c r="Y40" s="23" t="s">
        <v>448</v>
      </c>
      <c r="Z40" s="23">
        <v>-8</v>
      </c>
      <c r="AA40" s="47">
        <v>22</v>
      </c>
      <c r="AB40" s="70">
        <v>0.73299999999999998</v>
      </c>
      <c r="AC40" s="47" t="s">
        <v>448</v>
      </c>
      <c r="AD40" s="71">
        <v>14</v>
      </c>
      <c r="AE40" s="71">
        <v>6</v>
      </c>
      <c r="AF40" s="69"/>
      <c r="AG40" s="72"/>
      <c r="AH40" s="52">
        <v>14</v>
      </c>
      <c r="AI40" s="52">
        <v>6</v>
      </c>
      <c r="AJ40" s="52">
        <v>20</v>
      </c>
      <c r="AK40" s="88">
        <v>0.66669999999999996</v>
      </c>
      <c r="AL40" s="70">
        <v>0.73299999999999998</v>
      </c>
      <c r="AM40" s="88">
        <v>0.66669999999999996</v>
      </c>
      <c r="AN40" s="92" t="s">
        <v>600</v>
      </c>
      <c r="AO40" s="52">
        <v>17</v>
      </c>
      <c r="AP40" s="52" t="s">
        <v>448</v>
      </c>
      <c r="AQ40" s="52">
        <v>4</v>
      </c>
      <c r="AR40" s="52">
        <v>4.75</v>
      </c>
      <c r="AS40" s="52">
        <v>4.75</v>
      </c>
      <c r="AT40" s="52">
        <v>5</v>
      </c>
      <c r="AU40" s="52">
        <v>18.5</v>
      </c>
      <c r="AV40" s="89">
        <f t="shared" si="0"/>
        <v>18.5</v>
      </c>
      <c r="AW40" s="23" t="s">
        <v>448</v>
      </c>
      <c r="AX40" s="82">
        <v>18.5</v>
      </c>
      <c r="AZ40" s="20">
        <v>14.1</v>
      </c>
      <c r="BA40" s="22">
        <v>42999</v>
      </c>
      <c r="BB40" s="23" t="s">
        <v>296</v>
      </c>
      <c r="BC40" s="22" t="s">
        <v>53</v>
      </c>
      <c r="BE40" s="62" t="s">
        <v>448</v>
      </c>
      <c r="BF40" s="62">
        <v>5</v>
      </c>
      <c r="BG40" s="62">
        <v>4.5</v>
      </c>
      <c r="BH40" s="62">
        <v>4.5</v>
      </c>
      <c r="BI40" s="62">
        <v>4.5</v>
      </c>
      <c r="BJ40" s="62">
        <v>18.5</v>
      </c>
      <c r="BK40" s="90">
        <f t="shared" si="1"/>
        <v>18.5</v>
      </c>
      <c r="BL40" s="83">
        <v>18.5</v>
      </c>
      <c r="BM40" s="52" t="s">
        <v>593</v>
      </c>
      <c r="BO40" s="99">
        <v>28</v>
      </c>
      <c r="BP40" s="99">
        <v>0</v>
      </c>
      <c r="CD40" s="51" t="s">
        <v>527</v>
      </c>
      <c r="CE40" s="47" t="s">
        <v>448</v>
      </c>
      <c r="CF40" s="70">
        <v>0.73299999999999998</v>
      </c>
      <c r="CG40" s="70">
        <v>0.66669999999999996</v>
      </c>
      <c r="CH40" s="47" t="s">
        <v>571</v>
      </c>
      <c r="CK40" s="52" t="s">
        <v>625</v>
      </c>
    </row>
    <row r="41" spans="1:89" s="57" customFormat="1" ht="17" customHeight="1">
      <c r="A41" s="54">
        <v>41</v>
      </c>
      <c r="B41" s="54"/>
      <c r="C41" s="54"/>
      <c r="D41" s="55"/>
      <c r="E41" s="55" t="s">
        <v>411</v>
      </c>
      <c r="F41" s="54">
        <v>0</v>
      </c>
      <c r="G41" s="55">
        <v>55555</v>
      </c>
      <c r="H41" s="54">
        <v>0</v>
      </c>
      <c r="I41" s="54" t="s">
        <v>412</v>
      </c>
      <c r="J41" s="117"/>
      <c r="K41" s="113"/>
      <c r="L41" s="113"/>
      <c r="M41" s="113"/>
      <c r="N41" s="113"/>
      <c r="O41" s="113"/>
      <c r="P41" s="113"/>
      <c r="Q41" s="113"/>
      <c r="V41" s="54" t="s">
        <v>416</v>
      </c>
      <c r="W41" s="55"/>
      <c r="X41" s="54"/>
      <c r="Y41" s="54" t="s">
        <v>449</v>
      </c>
      <c r="Z41" s="54"/>
      <c r="AA41" s="73"/>
      <c r="AB41" s="73"/>
      <c r="AC41" s="73" t="s">
        <v>449</v>
      </c>
      <c r="AD41" s="73"/>
      <c r="AE41" s="73"/>
      <c r="AF41" s="54"/>
      <c r="AG41" s="73"/>
      <c r="AL41" s="73"/>
      <c r="AN41" s="57">
        <v>13</v>
      </c>
      <c r="AP41" s="57" t="s">
        <v>449</v>
      </c>
      <c r="AV41" s="93">
        <f t="shared" si="0"/>
        <v>0</v>
      </c>
      <c r="AW41" s="54" t="s">
        <v>449</v>
      </c>
      <c r="AZ41" s="54">
        <v>0</v>
      </c>
      <c r="BA41" s="55">
        <v>55555</v>
      </c>
      <c r="BB41" s="54" t="s">
        <v>412</v>
      </c>
      <c r="BC41" s="55"/>
      <c r="BE41" s="94" t="s">
        <v>449</v>
      </c>
      <c r="BK41" s="93">
        <f t="shared" si="1"/>
        <v>0</v>
      </c>
      <c r="BM41" s="57" t="s">
        <v>591</v>
      </c>
      <c r="BO41" s="99"/>
      <c r="BP41" s="99">
        <v>0</v>
      </c>
      <c r="CD41" s="56" t="s">
        <v>496</v>
      </c>
      <c r="CE41" s="73" t="s">
        <v>449</v>
      </c>
      <c r="CK41" s="57" t="s">
        <v>591</v>
      </c>
    </row>
    <row r="42" spans="1:89" ht="17" customHeight="1">
      <c r="A42" s="23">
        <v>42</v>
      </c>
      <c r="B42" s="23" t="s">
        <v>203</v>
      </c>
      <c r="C42" s="20">
        <v>14.1</v>
      </c>
      <c r="D42" s="22">
        <v>5</v>
      </c>
      <c r="E42" s="22" t="s">
        <v>422</v>
      </c>
      <c r="F42" s="20">
        <v>14.1</v>
      </c>
      <c r="G42" s="22">
        <v>43023</v>
      </c>
      <c r="H42" s="20">
        <v>14.1</v>
      </c>
      <c r="I42" s="23" t="s">
        <v>298</v>
      </c>
      <c r="J42" s="116">
        <v>0.9</v>
      </c>
      <c r="K42" s="114">
        <v>0.73329999999999995</v>
      </c>
      <c r="L42" s="114"/>
      <c r="M42" s="114"/>
      <c r="N42" s="114"/>
      <c r="O42" s="114"/>
      <c r="P42" s="114"/>
      <c r="Q42" s="114"/>
      <c r="R42" s="81">
        <v>17</v>
      </c>
      <c r="S42" s="81">
        <v>20</v>
      </c>
      <c r="T42" s="82">
        <v>20</v>
      </c>
      <c r="U42" s="83">
        <v>20</v>
      </c>
      <c r="V42" s="23" t="s">
        <v>299</v>
      </c>
      <c r="W42" s="22" t="s">
        <v>56</v>
      </c>
      <c r="X42" s="23" t="s">
        <v>219</v>
      </c>
      <c r="Y42" s="23" t="s">
        <v>450</v>
      </c>
      <c r="Z42" s="23">
        <v>-3</v>
      </c>
      <c r="AA42" s="47">
        <v>27</v>
      </c>
      <c r="AB42" s="70">
        <v>0.9</v>
      </c>
      <c r="AC42" s="47" t="s">
        <v>450</v>
      </c>
      <c r="AD42" s="71">
        <v>15</v>
      </c>
      <c r="AE42" s="71">
        <v>7</v>
      </c>
      <c r="AF42" s="69"/>
      <c r="AG42" s="72"/>
      <c r="AH42" s="52">
        <v>15</v>
      </c>
      <c r="AI42" s="52">
        <v>7</v>
      </c>
      <c r="AJ42" s="52">
        <v>22</v>
      </c>
      <c r="AK42" s="88">
        <v>0.73329999999999995</v>
      </c>
      <c r="AL42" s="70">
        <v>0.9</v>
      </c>
      <c r="AM42" s="88">
        <v>0.73329999999999995</v>
      </c>
      <c r="AN42" s="52">
        <v>17</v>
      </c>
      <c r="AO42" s="52">
        <v>20</v>
      </c>
      <c r="AP42" s="52" t="s">
        <v>450</v>
      </c>
      <c r="AQ42" s="52">
        <v>5</v>
      </c>
      <c r="AR42" s="52">
        <v>5</v>
      </c>
      <c r="AS42" s="52">
        <v>5</v>
      </c>
      <c r="AT42" s="52">
        <v>5</v>
      </c>
      <c r="AU42" s="52">
        <v>20</v>
      </c>
      <c r="AV42" s="89">
        <f t="shared" si="0"/>
        <v>20</v>
      </c>
      <c r="AW42" s="23" t="s">
        <v>450</v>
      </c>
      <c r="AX42" s="82">
        <v>20</v>
      </c>
      <c r="AZ42" s="20">
        <v>14.1</v>
      </c>
      <c r="BA42" s="22">
        <v>43023</v>
      </c>
      <c r="BB42" s="23" t="s">
        <v>298</v>
      </c>
      <c r="BC42" s="22" t="s">
        <v>56</v>
      </c>
      <c r="BE42" s="62" t="s">
        <v>450</v>
      </c>
      <c r="BF42" s="62">
        <v>5</v>
      </c>
      <c r="BG42" s="62">
        <v>5</v>
      </c>
      <c r="BH42" s="62">
        <v>5</v>
      </c>
      <c r="BI42" s="62">
        <v>5</v>
      </c>
      <c r="BJ42" s="62">
        <v>20</v>
      </c>
      <c r="BK42" s="90">
        <f t="shared" si="1"/>
        <v>20</v>
      </c>
      <c r="BL42" s="83">
        <v>20</v>
      </c>
      <c r="BM42" s="52" t="s">
        <v>592</v>
      </c>
      <c r="BO42" s="99">
        <v>18</v>
      </c>
      <c r="BP42" s="99">
        <v>0</v>
      </c>
      <c r="CD42" s="51" t="s">
        <v>528</v>
      </c>
      <c r="CE42" s="47" t="s">
        <v>450</v>
      </c>
      <c r="CF42" s="70">
        <v>0.9</v>
      </c>
      <c r="CG42" s="70">
        <v>0.73329999999999995</v>
      </c>
      <c r="CH42" s="47" t="s">
        <v>570</v>
      </c>
      <c r="CK42" s="52" t="s">
        <v>624</v>
      </c>
    </row>
    <row r="43" spans="1:89" ht="17" customHeight="1">
      <c r="A43" s="23">
        <v>43</v>
      </c>
      <c r="B43" s="23" t="s">
        <v>203</v>
      </c>
      <c r="C43" s="20">
        <v>14.1</v>
      </c>
      <c r="D43" s="22">
        <v>6</v>
      </c>
      <c r="E43" s="22" t="s">
        <v>423</v>
      </c>
      <c r="F43" s="20">
        <v>14.1</v>
      </c>
      <c r="G43" s="22">
        <v>43032</v>
      </c>
      <c r="H43" s="20">
        <v>14.1</v>
      </c>
      <c r="I43" s="23" t="s">
        <v>300</v>
      </c>
      <c r="J43" s="118" t="s">
        <v>467</v>
      </c>
      <c r="K43" s="114">
        <v>0.76670000000000005</v>
      </c>
      <c r="L43" s="114"/>
      <c r="M43" s="114"/>
      <c r="N43" s="114"/>
      <c r="O43" s="114"/>
      <c r="P43" s="114"/>
      <c r="Q43" s="114"/>
      <c r="R43" s="81">
        <v>17</v>
      </c>
      <c r="S43" s="81">
        <v>17</v>
      </c>
      <c r="T43" s="121" t="s">
        <v>615</v>
      </c>
      <c r="U43" s="92" t="s">
        <v>616</v>
      </c>
      <c r="V43" s="23" t="s">
        <v>301</v>
      </c>
      <c r="W43" s="22" t="s">
        <v>59</v>
      </c>
      <c r="X43" s="23" t="s">
        <v>220</v>
      </c>
      <c r="Y43" s="23" t="s">
        <v>442</v>
      </c>
      <c r="Z43" s="74"/>
      <c r="AC43" s="47" t="s">
        <v>442</v>
      </c>
      <c r="AD43" s="71">
        <v>15</v>
      </c>
      <c r="AE43" s="71">
        <v>8</v>
      </c>
      <c r="AF43" s="75"/>
      <c r="AH43" s="52">
        <v>15</v>
      </c>
      <c r="AI43" s="52">
        <v>8</v>
      </c>
      <c r="AJ43" s="52">
        <v>23</v>
      </c>
      <c r="AK43" s="96">
        <v>0.76670000000000005</v>
      </c>
      <c r="AM43" s="96">
        <v>0.76670000000000005</v>
      </c>
      <c r="AN43" s="52">
        <v>17</v>
      </c>
      <c r="AO43" s="52">
        <v>17</v>
      </c>
      <c r="AP43" s="52" t="s">
        <v>442</v>
      </c>
      <c r="AQ43" s="52">
        <v>4.25</v>
      </c>
      <c r="AR43" s="52">
        <v>5</v>
      </c>
      <c r="AS43" s="52">
        <v>4.75</v>
      </c>
      <c r="AT43" s="52">
        <v>5</v>
      </c>
      <c r="AU43" s="52">
        <v>19</v>
      </c>
      <c r="AV43" s="89">
        <f t="shared" si="0"/>
        <v>19</v>
      </c>
      <c r="AW43" s="23" t="s">
        <v>442</v>
      </c>
      <c r="AX43" s="82">
        <v>19</v>
      </c>
      <c r="AZ43" s="20">
        <v>14.1</v>
      </c>
      <c r="BA43" s="22">
        <v>43032</v>
      </c>
      <c r="BB43" s="23" t="s">
        <v>300</v>
      </c>
      <c r="BC43" s="22" t="s">
        <v>59</v>
      </c>
      <c r="BE43" s="62" t="s">
        <v>442</v>
      </c>
      <c r="BF43" s="62">
        <v>5</v>
      </c>
      <c r="BG43" s="62">
        <v>5</v>
      </c>
      <c r="BH43" s="62">
        <v>4.5</v>
      </c>
      <c r="BI43" s="62">
        <v>4.5</v>
      </c>
      <c r="BJ43" s="62">
        <v>19</v>
      </c>
      <c r="BK43" s="90">
        <f t="shared" si="1"/>
        <v>19</v>
      </c>
      <c r="BL43" s="83">
        <v>19</v>
      </c>
      <c r="BM43" s="52" t="s">
        <v>591</v>
      </c>
      <c r="BO43" s="99">
        <v>29</v>
      </c>
      <c r="BP43" s="99">
        <v>0</v>
      </c>
      <c r="CD43" s="51" t="s">
        <v>529</v>
      </c>
      <c r="CE43" s="47" t="s">
        <v>442</v>
      </c>
      <c r="CG43" s="70">
        <v>0.76670000000000005</v>
      </c>
      <c r="CH43" s="47" t="s">
        <v>577</v>
      </c>
      <c r="CK43" s="52" t="s">
        <v>591</v>
      </c>
    </row>
    <row r="44" spans="1:89" ht="17" customHeight="1">
      <c r="A44" s="23">
        <v>44</v>
      </c>
      <c r="B44" s="23" t="s">
        <v>204</v>
      </c>
      <c r="C44" s="23">
        <v>14.1</v>
      </c>
      <c r="D44" s="22">
        <v>7</v>
      </c>
      <c r="E44" s="22" t="s">
        <v>424</v>
      </c>
      <c r="F44" s="23">
        <v>14.1</v>
      </c>
      <c r="G44" s="22">
        <v>43034</v>
      </c>
      <c r="H44" s="23">
        <v>14.1</v>
      </c>
      <c r="I44" s="23" t="s">
        <v>302</v>
      </c>
      <c r="J44" s="116">
        <v>0.4</v>
      </c>
      <c r="K44" s="114">
        <v>0.43330000000000002</v>
      </c>
      <c r="L44" s="114"/>
      <c r="M44" s="114"/>
      <c r="N44" s="114"/>
      <c r="O44" s="114"/>
      <c r="P44" s="114"/>
      <c r="Q44" s="114"/>
      <c r="R44" s="81">
        <v>5</v>
      </c>
      <c r="S44" s="81">
        <v>13</v>
      </c>
      <c r="T44" s="121">
        <v>19</v>
      </c>
      <c r="U44" s="92">
        <v>19</v>
      </c>
      <c r="V44" s="23" t="s">
        <v>303</v>
      </c>
      <c r="W44" s="22" t="s">
        <v>62</v>
      </c>
      <c r="X44" s="23" t="s">
        <v>210</v>
      </c>
      <c r="Y44" s="23" t="s">
        <v>441</v>
      </c>
      <c r="Z44" s="23">
        <v>-18</v>
      </c>
      <c r="AA44" s="47">
        <v>12</v>
      </c>
      <c r="AB44" s="70">
        <v>0.4</v>
      </c>
      <c r="AC44" s="47" t="s">
        <v>441</v>
      </c>
      <c r="AD44" s="47">
        <v>9</v>
      </c>
      <c r="AE44" s="47">
        <v>4</v>
      </c>
      <c r="AF44" s="23"/>
      <c r="AG44" s="70"/>
      <c r="AH44" s="52">
        <v>9</v>
      </c>
      <c r="AI44" s="52">
        <v>4</v>
      </c>
      <c r="AJ44" s="52">
        <v>13</v>
      </c>
      <c r="AK44" s="96">
        <v>0.43330000000000002</v>
      </c>
      <c r="AL44" s="70">
        <v>0.4</v>
      </c>
      <c r="AM44" s="96">
        <v>0.43330000000000002</v>
      </c>
      <c r="AN44" s="52">
        <v>5</v>
      </c>
      <c r="AO44" s="52">
        <v>13</v>
      </c>
      <c r="AP44" s="52" t="s">
        <v>441</v>
      </c>
      <c r="AQ44" s="52"/>
      <c r="AR44" s="52"/>
      <c r="AS44" s="52"/>
      <c r="AT44" s="52"/>
      <c r="AU44" s="52"/>
      <c r="AV44" s="111">
        <f t="shared" si="0"/>
        <v>0</v>
      </c>
      <c r="AW44" s="23" t="s">
        <v>441</v>
      </c>
      <c r="AX44" s="52"/>
      <c r="AY44" s="52"/>
      <c r="AZ44" s="23">
        <v>14.1</v>
      </c>
      <c r="BA44" s="22">
        <v>43034</v>
      </c>
      <c r="BB44" s="23" t="s">
        <v>302</v>
      </c>
      <c r="BC44" s="22" t="s">
        <v>62</v>
      </c>
      <c r="BD44" s="52"/>
      <c r="BE44" s="112" t="s">
        <v>441</v>
      </c>
      <c r="BF44" s="52"/>
      <c r="BG44" s="52"/>
      <c r="BH44" s="52"/>
      <c r="BI44" s="52"/>
      <c r="BJ44" s="52"/>
      <c r="BK44" s="111">
        <f t="shared" si="1"/>
        <v>0</v>
      </c>
      <c r="BL44" s="52"/>
      <c r="BM44" s="52" t="s">
        <v>591</v>
      </c>
      <c r="BO44" s="99">
        <v>23</v>
      </c>
      <c r="BP44" s="99">
        <v>0</v>
      </c>
      <c r="CD44" s="51" t="s">
        <v>530</v>
      </c>
      <c r="CE44" s="47" t="s">
        <v>441</v>
      </c>
      <c r="CF44" s="70">
        <v>0.4</v>
      </c>
      <c r="CG44" s="70">
        <v>0.43330000000000002</v>
      </c>
      <c r="CH44" s="47" t="s">
        <v>583</v>
      </c>
      <c r="CK44" s="52" t="s">
        <v>591</v>
      </c>
    </row>
    <row r="45" spans="1:89" ht="17" customHeight="1">
      <c r="A45" s="23">
        <v>45</v>
      </c>
      <c r="B45" s="23" t="s">
        <v>204</v>
      </c>
      <c r="C45" s="23">
        <v>14.1</v>
      </c>
      <c r="D45" s="22">
        <v>8</v>
      </c>
      <c r="E45" s="22" t="s">
        <v>425</v>
      </c>
      <c r="F45" s="23">
        <v>14.1</v>
      </c>
      <c r="G45" s="22">
        <v>43056</v>
      </c>
      <c r="H45" s="23">
        <v>14.1</v>
      </c>
      <c r="I45" s="23" t="s">
        <v>304</v>
      </c>
      <c r="J45" s="116">
        <v>0.76700000000000002</v>
      </c>
      <c r="K45" s="114">
        <v>0.56669999999999998</v>
      </c>
      <c r="L45" s="114"/>
      <c r="M45" s="114"/>
      <c r="N45" s="114"/>
      <c r="O45" s="114"/>
      <c r="P45" s="114"/>
      <c r="Q45" s="114"/>
      <c r="R45" s="92" t="s">
        <v>597</v>
      </c>
      <c r="S45" s="92" t="s">
        <v>598</v>
      </c>
      <c r="T45" s="121" t="s">
        <v>615</v>
      </c>
      <c r="U45" s="92" t="s">
        <v>616</v>
      </c>
      <c r="V45" s="23" t="s">
        <v>305</v>
      </c>
      <c r="W45" s="22" t="s">
        <v>65</v>
      </c>
      <c r="X45" s="23" t="s">
        <v>218</v>
      </c>
      <c r="Y45" s="23" t="s">
        <v>439</v>
      </c>
      <c r="Z45" s="23">
        <v>-7</v>
      </c>
      <c r="AA45" s="47">
        <v>23</v>
      </c>
      <c r="AB45" s="70">
        <v>0.76700000000000002</v>
      </c>
      <c r="AC45" s="47" t="s">
        <v>439</v>
      </c>
      <c r="AD45" s="47">
        <v>11</v>
      </c>
      <c r="AE45" s="47">
        <v>6</v>
      </c>
      <c r="AF45" s="23"/>
      <c r="AG45" s="70"/>
      <c r="AH45" s="52">
        <v>11</v>
      </c>
      <c r="AI45" s="52">
        <v>6</v>
      </c>
      <c r="AJ45" s="52">
        <v>17</v>
      </c>
      <c r="AK45" s="96">
        <v>0.56669999999999998</v>
      </c>
      <c r="AL45" s="70">
        <v>0.76700000000000002</v>
      </c>
      <c r="AM45" s="96">
        <v>0.56669999999999998</v>
      </c>
      <c r="AN45" s="52" t="s">
        <v>600</v>
      </c>
      <c r="AO45" s="52" t="s">
        <v>600</v>
      </c>
      <c r="AP45" s="52" t="s">
        <v>439</v>
      </c>
      <c r="AQ45" s="52"/>
      <c r="AR45" s="52"/>
      <c r="AS45" s="52"/>
      <c r="AT45" s="52"/>
      <c r="AU45" s="52"/>
      <c r="AV45" s="111">
        <f t="shared" si="0"/>
        <v>0</v>
      </c>
      <c r="AW45" s="23" t="s">
        <v>439</v>
      </c>
      <c r="AX45" s="52"/>
      <c r="AY45" s="52"/>
      <c r="AZ45" s="23">
        <v>14.1</v>
      </c>
      <c r="BA45" s="22">
        <v>43056</v>
      </c>
      <c r="BB45" s="23" t="s">
        <v>304</v>
      </c>
      <c r="BC45" s="22" t="s">
        <v>65</v>
      </c>
      <c r="BD45" s="52"/>
      <c r="BE45" s="112" t="s">
        <v>439</v>
      </c>
      <c r="BF45" s="52"/>
      <c r="BG45" s="52"/>
      <c r="BH45" s="52"/>
      <c r="BI45" s="52"/>
      <c r="BJ45" s="52"/>
      <c r="BK45" s="111">
        <f t="shared" si="1"/>
        <v>0</v>
      </c>
      <c r="BL45" s="52"/>
      <c r="BM45" s="52" t="s">
        <v>593</v>
      </c>
      <c r="BO45" s="99">
        <v>20</v>
      </c>
      <c r="BP45" s="99">
        <v>0</v>
      </c>
      <c r="CD45" s="51" t="s">
        <v>531</v>
      </c>
      <c r="CE45" s="47" t="s">
        <v>439</v>
      </c>
      <c r="CF45" s="70">
        <v>0.76700000000000002</v>
      </c>
      <c r="CG45" s="70">
        <v>0.56669999999999998</v>
      </c>
      <c r="CH45" s="47" t="s">
        <v>574</v>
      </c>
      <c r="CK45" s="52" t="s">
        <v>625</v>
      </c>
    </row>
    <row r="46" spans="1:89" ht="17" customHeight="1">
      <c r="A46" s="23">
        <v>46</v>
      </c>
      <c r="B46" s="23" t="s">
        <v>204</v>
      </c>
      <c r="C46" s="20">
        <v>14.1</v>
      </c>
      <c r="D46" s="22">
        <v>9</v>
      </c>
      <c r="E46" s="22" t="s">
        <v>426</v>
      </c>
      <c r="F46" s="20">
        <v>14.1</v>
      </c>
      <c r="G46" s="53">
        <v>44558</v>
      </c>
      <c r="H46" s="20">
        <v>14.1</v>
      </c>
      <c r="I46" s="23" t="s">
        <v>306</v>
      </c>
      <c r="J46" s="116">
        <v>0.93300000000000005</v>
      </c>
      <c r="K46" s="114">
        <v>0.9667</v>
      </c>
      <c r="L46" s="114"/>
      <c r="M46" s="114"/>
      <c r="N46" s="114"/>
      <c r="O46" s="114"/>
      <c r="P46" s="114"/>
      <c r="Q46" s="114"/>
      <c r="R46" s="81">
        <v>20</v>
      </c>
      <c r="S46" s="81">
        <v>20</v>
      </c>
      <c r="T46" s="82">
        <v>19.5</v>
      </c>
      <c r="U46" s="83">
        <v>19.5</v>
      </c>
      <c r="V46" s="23" t="s">
        <v>307</v>
      </c>
      <c r="W46" s="22" t="s">
        <v>68</v>
      </c>
      <c r="X46" s="23" t="s">
        <v>214</v>
      </c>
      <c r="Y46" s="23" t="s">
        <v>451</v>
      </c>
      <c r="Z46" s="23" t="s">
        <v>233</v>
      </c>
      <c r="AA46" s="47">
        <v>28</v>
      </c>
      <c r="AB46" s="70">
        <v>0.93300000000000005</v>
      </c>
      <c r="AC46" s="47" t="s">
        <v>451</v>
      </c>
      <c r="AD46" s="71">
        <v>20</v>
      </c>
      <c r="AE46" s="71">
        <v>9</v>
      </c>
      <c r="AF46" s="69"/>
      <c r="AG46" s="72"/>
      <c r="AH46" s="52">
        <v>20</v>
      </c>
      <c r="AI46" s="52">
        <v>9</v>
      </c>
      <c r="AJ46" s="52">
        <v>29</v>
      </c>
      <c r="AK46" s="91">
        <v>0.9667</v>
      </c>
      <c r="AL46" s="70">
        <v>0.93300000000000005</v>
      </c>
      <c r="AM46" s="91">
        <v>0.9667</v>
      </c>
      <c r="AN46" s="52">
        <v>20</v>
      </c>
      <c r="AO46" s="52">
        <v>20</v>
      </c>
      <c r="AP46" s="52" t="s">
        <v>451</v>
      </c>
      <c r="AQ46" s="52">
        <v>4.5</v>
      </c>
      <c r="AR46" s="52">
        <v>5</v>
      </c>
      <c r="AS46" s="52">
        <v>5</v>
      </c>
      <c r="AT46" s="52">
        <v>5</v>
      </c>
      <c r="AU46" s="52">
        <v>19.5</v>
      </c>
      <c r="AV46" s="89">
        <f t="shared" si="0"/>
        <v>19.5</v>
      </c>
      <c r="AW46" s="23" t="s">
        <v>451</v>
      </c>
      <c r="AX46" s="82">
        <v>19.5</v>
      </c>
      <c r="AZ46" s="20">
        <v>14.1</v>
      </c>
      <c r="BA46" s="53">
        <v>44558</v>
      </c>
      <c r="BB46" s="23" t="s">
        <v>306</v>
      </c>
      <c r="BC46" s="22" t="s">
        <v>68</v>
      </c>
      <c r="BE46" s="62" t="s">
        <v>451</v>
      </c>
      <c r="BF46" s="62">
        <v>5</v>
      </c>
      <c r="BG46" s="62">
        <v>5</v>
      </c>
      <c r="BH46" s="62">
        <v>5</v>
      </c>
      <c r="BI46" s="62">
        <v>4.5</v>
      </c>
      <c r="BJ46" s="62">
        <v>19.5</v>
      </c>
      <c r="BK46" s="90">
        <f t="shared" si="1"/>
        <v>19.5</v>
      </c>
      <c r="BL46" s="83">
        <v>19.5</v>
      </c>
      <c r="BM46" s="52" t="s">
        <v>591</v>
      </c>
      <c r="BO46" s="99">
        <v>27</v>
      </c>
      <c r="BP46" s="99">
        <v>0</v>
      </c>
      <c r="CD46" s="51" t="s">
        <v>532</v>
      </c>
      <c r="CE46" s="47" t="s">
        <v>451</v>
      </c>
      <c r="CF46" s="70">
        <v>0.93300000000000005</v>
      </c>
      <c r="CG46" s="70">
        <v>0.9667</v>
      </c>
      <c r="CH46" s="47" t="s">
        <v>575</v>
      </c>
      <c r="CK46" s="52" t="s">
        <v>591</v>
      </c>
    </row>
    <row r="47" spans="1:89" ht="17" customHeight="1">
      <c r="A47" s="23">
        <v>47</v>
      </c>
      <c r="B47" s="23" t="s">
        <v>204</v>
      </c>
      <c r="C47" s="20">
        <v>14.1</v>
      </c>
      <c r="D47" s="22">
        <v>10</v>
      </c>
      <c r="E47" s="22" t="s">
        <v>427</v>
      </c>
      <c r="F47" s="20">
        <v>14.1</v>
      </c>
      <c r="G47" s="22">
        <v>44563</v>
      </c>
      <c r="H47" s="20">
        <v>14.1</v>
      </c>
      <c r="I47" s="23" t="s">
        <v>217</v>
      </c>
      <c r="J47" s="116">
        <v>1</v>
      </c>
      <c r="K47" s="114">
        <v>1</v>
      </c>
      <c r="L47" s="114"/>
      <c r="M47" s="114"/>
      <c r="N47" s="114"/>
      <c r="O47" s="114"/>
      <c r="P47" s="114"/>
      <c r="Q47" s="114"/>
      <c r="R47" s="81">
        <v>19</v>
      </c>
      <c r="S47" s="81">
        <v>20</v>
      </c>
      <c r="T47" s="82">
        <v>20</v>
      </c>
      <c r="U47" s="83">
        <v>20</v>
      </c>
      <c r="V47" s="23" t="s">
        <v>308</v>
      </c>
      <c r="W47" s="22" t="s">
        <v>71</v>
      </c>
      <c r="X47" s="23" t="s">
        <v>217</v>
      </c>
      <c r="Y47" s="23" t="s">
        <v>443</v>
      </c>
      <c r="Z47" s="23">
        <v>30</v>
      </c>
      <c r="AA47" s="47">
        <v>30</v>
      </c>
      <c r="AB47" s="70">
        <v>1</v>
      </c>
      <c r="AC47" s="47" t="s">
        <v>443</v>
      </c>
      <c r="AD47" s="71">
        <v>20</v>
      </c>
      <c r="AE47" s="71">
        <v>10</v>
      </c>
      <c r="AF47" s="69"/>
      <c r="AG47" s="72"/>
      <c r="AH47" s="52">
        <v>20</v>
      </c>
      <c r="AI47" s="52">
        <v>10</v>
      </c>
      <c r="AJ47" s="52">
        <v>30</v>
      </c>
      <c r="AK47" s="91">
        <v>1</v>
      </c>
      <c r="AL47" s="70">
        <v>1</v>
      </c>
      <c r="AM47" s="91">
        <v>1</v>
      </c>
      <c r="AN47" s="52">
        <v>19</v>
      </c>
      <c r="AO47" s="52">
        <v>20</v>
      </c>
      <c r="AP47" s="52" t="s">
        <v>443</v>
      </c>
      <c r="AQ47" s="52">
        <v>5</v>
      </c>
      <c r="AR47" s="52">
        <v>5</v>
      </c>
      <c r="AS47" s="52">
        <v>5</v>
      </c>
      <c r="AT47" s="52">
        <v>5</v>
      </c>
      <c r="AU47" s="52">
        <v>20</v>
      </c>
      <c r="AV47" s="89">
        <f t="shared" si="0"/>
        <v>20</v>
      </c>
      <c r="AW47" s="23" t="s">
        <v>443</v>
      </c>
      <c r="AX47" s="82">
        <v>20</v>
      </c>
      <c r="AZ47" s="20">
        <v>14.1</v>
      </c>
      <c r="BA47" s="22">
        <v>44563</v>
      </c>
      <c r="BB47" s="23" t="s">
        <v>217</v>
      </c>
      <c r="BC47" s="22" t="s">
        <v>71</v>
      </c>
      <c r="BE47" s="62" t="s">
        <v>443</v>
      </c>
      <c r="BF47" s="62">
        <v>5</v>
      </c>
      <c r="BG47" s="62">
        <v>5</v>
      </c>
      <c r="BH47" s="62">
        <v>5</v>
      </c>
      <c r="BI47" s="62">
        <v>5</v>
      </c>
      <c r="BJ47" s="62">
        <v>20</v>
      </c>
      <c r="BK47" s="90">
        <f t="shared" si="1"/>
        <v>20</v>
      </c>
      <c r="BL47" s="83">
        <v>20</v>
      </c>
      <c r="BM47" s="52" t="s">
        <v>591</v>
      </c>
      <c r="BO47" s="99">
        <v>30</v>
      </c>
      <c r="BP47" s="99">
        <v>0</v>
      </c>
      <c r="CD47" s="51" t="s">
        <v>502</v>
      </c>
      <c r="CE47" s="47" t="s">
        <v>443</v>
      </c>
      <c r="CF47" s="70">
        <v>1</v>
      </c>
      <c r="CG47" s="70">
        <v>1</v>
      </c>
      <c r="CH47" s="47" t="s">
        <v>573</v>
      </c>
      <c r="CK47" s="52" t="s">
        <v>591</v>
      </c>
    </row>
    <row r="48" spans="1:89" ht="17" customHeight="1">
      <c r="A48" s="23">
        <v>48</v>
      </c>
      <c r="B48" s="23" t="s">
        <v>204</v>
      </c>
      <c r="C48" s="20">
        <v>14.1</v>
      </c>
      <c r="D48" s="22">
        <v>11</v>
      </c>
      <c r="E48" s="22" t="s">
        <v>428</v>
      </c>
      <c r="F48" s="20">
        <v>14.1</v>
      </c>
      <c r="G48" s="22">
        <v>44589</v>
      </c>
      <c r="H48" s="20">
        <v>14.1</v>
      </c>
      <c r="I48" s="23" t="s">
        <v>309</v>
      </c>
      <c r="J48" s="116">
        <v>0.23300000000000001</v>
      </c>
      <c r="K48" s="114">
        <v>0.63329999999999997</v>
      </c>
      <c r="L48" s="114"/>
      <c r="M48" s="114"/>
      <c r="N48" s="114"/>
      <c r="O48" s="114"/>
      <c r="P48" s="114"/>
      <c r="Q48" s="114"/>
      <c r="R48" s="81">
        <v>10</v>
      </c>
      <c r="S48" s="81">
        <v>12</v>
      </c>
      <c r="T48" s="82">
        <v>18</v>
      </c>
      <c r="U48" s="83">
        <v>18</v>
      </c>
      <c r="V48" s="23" t="s">
        <v>310</v>
      </c>
      <c r="W48" s="22" t="s">
        <v>74</v>
      </c>
      <c r="X48" s="23" t="s">
        <v>215</v>
      </c>
      <c r="Y48" s="23" t="s">
        <v>452</v>
      </c>
      <c r="Z48" s="23">
        <v>-23</v>
      </c>
      <c r="AA48" s="47">
        <v>7</v>
      </c>
      <c r="AB48" s="70">
        <v>0.23300000000000001</v>
      </c>
      <c r="AC48" s="47" t="s">
        <v>452</v>
      </c>
      <c r="AD48" s="71">
        <v>13</v>
      </c>
      <c r="AE48" s="71">
        <v>6</v>
      </c>
      <c r="AF48" s="69"/>
      <c r="AG48" s="72"/>
      <c r="AH48" s="52">
        <v>13</v>
      </c>
      <c r="AI48" s="52">
        <v>6</v>
      </c>
      <c r="AJ48" s="52">
        <v>19</v>
      </c>
      <c r="AK48" s="91">
        <v>0.63329999999999997</v>
      </c>
      <c r="AL48" s="70">
        <v>0.23300000000000001</v>
      </c>
      <c r="AM48" s="91">
        <v>0.63329999999999997</v>
      </c>
      <c r="AN48" s="52">
        <v>10</v>
      </c>
      <c r="AO48" s="52">
        <v>12</v>
      </c>
      <c r="AP48" s="52" t="s">
        <v>452</v>
      </c>
      <c r="AQ48" s="52">
        <v>3.75</v>
      </c>
      <c r="AR48" s="52">
        <v>4.75</v>
      </c>
      <c r="AS48" s="52">
        <v>4.75</v>
      </c>
      <c r="AT48" s="52">
        <v>4.75</v>
      </c>
      <c r="AU48" s="52">
        <v>18</v>
      </c>
      <c r="AV48" s="89">
        <f t="shared" si="0"/>
        <v>18</v>
      </c>
      <c r="AW48" s="23" t="s">
        <v>452</v>
      </c>
      <c r="AX48" s="82">
        <v>18</v>
      </c>
      <c r="AZ48" s="20">
        <v>14.1</v>
      </c>
      <c r="BA48" s="22">
        <v>44589</v>
      </c>
      <c r="BB48" s="23" t="s">
        <v>309</v>
      </c>
      <c r="BC48" s="22" t="s">
        <v>74</v>
      </c>
      <c r="BE48" s="62" t="s">
        <v>452</v>
      </c>
      <c r="BF48" s="62">
        <v>4.5</v>
      </c>
      <c r="BG48" s="62">
        <v>4.5</v>
      </c>
      <c r="BH48" s="62">
        <v>4.5</v>
      </c>
      <c r="BI48" s="62">
        <v>4.5</v>
      </c>
      <c r="BJ48" s="62">
        <v>18</v>
      </c>
      <c r="BK48" s="90">
        <f t="shared" si="1"/>
        <v>18</v>
      </c>
      <c r="BL48" s="83">
        <v>18</v>
      </c>
      <c r="BM48" s="52" t="s">
        <v>593</v>
      </c>
      <c r="BO48" s="99">
        <v>9</v>
      </c>
      <c r="BP48" s="99">
        <v>0</v>
      </c>
      <c r="CD48" s="51" t="s">
        <v>533</v>
      </c>
      <c r="CE48" s="47" t="s">
        <v>452</v>
      </c>
      <c r="CF48" s="70">
        <v>0.23300000000000001</v>
      </c>
      <c r="CG48" s="70">
        <v>0.63329999999999997</v>
      </c>
      <c r="CH48" s="47" t="s">
        <v>584</v>
      </c>
      <c r="CK48" s="52" t="s">
        <v>625</v>
      </c>
    </row>
    <row r="49" spans="1:89" ht="17" customHeight="1">
      <c r="A49" s="23">
        <v>49</v>
      </c>
      <c r="B49" s="23" t="s">
        <v>205</v>
      </c>
      <c r="C49" s="20">
        <v>14.1</v>
      </c>
      <c r="D49" s="22">
        <v>12</v>
      </c>
      <c r="E49" s="22" t="s">
        <v>429</v>
      </c>
      <c r="F49" s="20">
        <v>14.1</v>
      </c>
      <c r="G49" s="22">
        <v>45165</v>
      </c>
      <c r="H49" s="20">
        <v>14.1</v>
      </c>
      <c r="I49" s="23" t="s">
        <v>311</v>
      </c>
      <c r="J49" s="116">
        <v>0.9</v>
      </c>
      <c r="K49" s="114">
        <v>0.83330000000000004</v>
      </c>
      <c r="L49" s="114"/>
      <c r="M49" s="114"/>
      <c r="N49" s="114"/>
      <c r="O49" s="114"/>
      <c r="P49" s="114"/>
      <c r="Q49" s="114"/>
      <c r="R49" s="81">
        <v>17</v>
      </c>
      <c r="S49" s="81">
        <v>18</v>
      </c>
      <c r="T49" s="82">
        <v>18.5</v>
      </c>
      <c r="U49" s="83">
        <v>18.5</v>
      </c>
      <c r="V49" s="23" t="s">
        <v>312</v>
      </c>
      <c r="W49" s="22" t="s">
        <v>77</v>
      </c>
      <c r="X49" s="23" t="s">
        <v>77</v>
      </c>
      <c r="Y49" s="23" t="s">
        <v>453</v>
      </c>
      <c r="Z49" s="23">
        <v>-3</v>
      </c>
      <c r="AA49" s="47">
        <v>27</v>
      </c>
      <c r="AB49" s="70">
        <v>0.9</v>
      </c>
      <c r="AC49" s="47" t="s">
        <v>453</v>
      </c>
      <c r="AD49" s="71">
        <v>18</v>
      </c>
      <c r="AE49" s="71">
        <v>7</v>
      </c>
      <c r="AF49" s="69"/>
      <c r="AG49" s="72"/>
      <c r="AH49" s="52">
        <v>18</v>
      </c>
      <c r="AI49" s="52">
        <v>7</v>
      </c>
      <c r="AJ49" s="52">
        <v>25</v>
      </c>
      <c r="AK49" s="88">
        <v>0.83330000000000004</v>
      </c>
      <c r="AL49" s="70">
        <v>0.9</v>
      </c>
      <c r="AM49" s="88">
        <v>0.83330000000000004</v>
      </c>
      <c r="AN49" s="52">
        <v>17</v>
      </c>
      <c r="AO49" s="52">
        <v>18</v>
      </c>
      <c r="AP49" s="52" t="s">
        <v>453</v>
      </c>
      <c r="AQ49" s="52">
        <v>4</v>
      </c>
      <c r="AR49" s="52">
        <v>4.75</v>
      </c>
      <c r="AS49" s="52">
        <v>4.75</v>
      </c>
      <c r="AT49" s="52">
        <v>5</v>
      </c>
      <c r="AU49" s="52">
        <v>18.5</v>
      </c>
      <c r="AV49" s="89">
        <f t="shared" si="0"/>
        <v>18.5</v>
      </c>
      <c r="AW49" s="23" t="s">
        <v>453</v>
      </c>
      <c r="AX49" s="82">
        <v>18.5</v>
      </c>
      <c r="AZ49" s="20">
        <v>14.1</v>
      </c>
      <c r="BA49" s="22">
        <v>45165</v>
      </c>
      <c r="BB49" s="23" t="s">
        <v>311</v>
      </c>
      <c r="BC49" s="22" t="s">
        <v>77</v>
      </c>
      <c r="BE49" s="62" t="s">
        <v>453</v>
      </c>
      <c r="BF49" s="62">
        <v>5</v>
      </c>
      <c r="BG49" s="62">
        <v>4.5</v>
      </c>
      <c r="BH49" s="62">
        <v>4.5</v>
      </c>
      <c r="BI49" s="62">
        <v>4.5</v>
      </c>
      <c r="BJ49" s="62">
        <v>18.5</v>
      </c>
      <c r="BK49" s="90">
        <f t="shared" si="1"/>
        <v>18.5</v>
      </c>
      <c r="BL49" s="83">
        <v>18.5</v>
      </c>
      <c r="BM49" s="52" t="s">
        <v>592</v>
      </c>
      <c r="BO49" s="99">
        <v>23</v>
      </c>
      <c r="BP49" s="99">
        <v>0</v>
      </c>
      <c r="CD49" s="51" t="s">
        <v>534</v>
      </c>
      <c r="CE49" s="47" t="s">
        <v>453</v>
      </c>
      <c r="CF49" s="70">
        <v>0.9</v>
      </c>
      <c r="CG49" s="70">
        <v>0.83330000000000004</v>
      </c>
      <c r="CH49" s="47" t="s">
        <v>572</v>
      </c>
      <c r="CK49" s="52" t="s">
        <v>624</v>
      </c>
    </row>
    <row r="50" spans="1:89" ht="17" customHeight="1">
      <c r="A50" s="23">
        <v>50</v>
      </c>
      <c r="B50" s="23" t="s">
        <v>205</v>
      </c>
      <c r="C50" s="20">
        <v>14.1</v>
      </c>
      <c r="D50" s="22">
        <v>13</v>
      </c>
      <c r="E50" s="22" t="s">
        <v>430</v>
      </c>
      <c r="F50" s="20">
        <v>14.1</v>
      </c>
      <c r="G50" s="22">
        <v>45875</v>
      </c>
      <c r="H50" s="20">
        <v>14.1</v>
      </c>
      <c r="I50" s="23" t="s">
        <v>313</v>
      </c>
      <c r="J50" s="116">
        <v>0.23300000000000001</v>
      </c>
      <c r="K50" s="114">
        <v>0.23330000000000001</v>
      </c>
      <c r="L50" s="114"/>
      <c r="M50" s="114"/>
      <c r="N50" s="114"/>
      <c r="O50" s="114"/>
      <c r="P50" s="114"/>
      <c r="Q50" s="114"/>
      <c r="R50" s="81">
        <v>10</v>
      </c>
      <c r="S50" s="81">
        <v>13</v>
      </c>
      <c r="T50" s="82">
        <v>19</v>
      </c>
      <c r="U50" s="83">
        <v>19</v>
      </c>
      <c r="V50" s="23" t="s">
        <v>314</v>
      </c>
      <c r="W50" s="22" t="s">
        <v>80</v>
      </c>
      <c r="X50" s="23" t="s">
        <v>80</v>
      </c>
      <c r="Y50" s="23" t="s">
        <v>440</v>
      </c>
      <c r="Z50" s="23">
        <v>-23</v>
      </c>
      <c r="AA50" s="47">
        <v>7</v>
      </c>
      <c r="AB50" s="70">
        <v>0.23300000000000001</v>
      </c>
      <c r="AC50" s="47" t="s">
        <v>440</v>
      </c>
      <c r="AD50" s="71">
        <v>5</v>
      </c>
      <c r="AE50" s="71">
        <v>2</v>
      </c>
      <c r="AF50" s="69"/>
      <c r="AG50" s="72"/>
      <c r="AH50" s="52">
        <v>5</v>
      </c>
      <c r="AI50" s="52">
        <v>2</v>
      </c>
      <c r="AJ50" s="52">
        <v>7</v>
      </c>
      <c r="AK50" s="88">
        <v>0.23330000000000001</v>
      </c>
      <c r="AL50" s="70">
        <v>0.23300000000000001</v>
      </c>
      <c r="AM50" s="88">
        <v>0.23330000000000001</v>
      </c>
      <c r="AN50" s="52">
        <v>10</v>
      </c>
      <c r="AO50" s="52">
        <v>13</v>
      </c>
      <c r="AP50" s="52" t="s">
        <v>440</v>
      </c>
      <c r="AQ50" s="52">
        <v>4.25</v>
      </c>
      <c r="AR50" s="52">
        <v>5</v>
      </c>
      <c r="AS50" s="52">
        <v>4.75</v>
      </c>
      <c r="AT50" s="52">
        <v>5</v>
      </c>
      <c r="AU50" s="52">
        <v>19</v>
      </c>
      <c r="AV50" s="89">
        <f t="shared" si="0"/>
        <v>19</v>
      </c>
      <c r="AW50" s="23" t="s">
        <v>440</v>
      </c>
      <c r="AX50" s="82">
        <v>19</v>
      </c>
      <c r="AZ50" s="20">
        <v>14.1</v>
      </c>
      <c r="BA50" s="22">
        <v>45875</v>
      </c>
      <c r="BB50" s="23" t="s">
        <v>313</v>
      </c>
      <c r="BC50" s="22" t="s">
        <v>80</v>
      </c>
      <c r="BE50" s="62" t="s">
        <v>440</v>
      </c>
      <c r="BF50" s="62">
        <v>5</v>
      </c>
      <c r="BG50" s="62">
        <v>5</v>
      </c>
      <c r="BH50" s="62">
        <v>4.5</v>
      </c>
      <c r="BI50" s="62">
        <v>4.5</v>
      </c>
      <c r="BJ50" s="62">
        <v>19</v>
      </c>
      <c r="BK50" s="90">
        <f t="shared" si="1"/>
        <v>19</v>
      </c>
      <c r="BL50" s="83">
        <v>19</v>
      </c>
      <c r="BM50" s="52" t="s">
        <v>593</v>
      </c>
      <c r="BO50" s="99">
        <v>9</v>
      </c>
      <c r="BP50" s="99">
        <v>0</v>
      </c>
      <c r="CD50" s="51" t="s">
        <v>535</v>
      </c>
      <c r="CE50" s="47" t="s">
        <v>440</v>
      </c>
      <c r="CF50" s="70">
        <v>0.23300000000000001</v>
      </c>
      <c r="CG50" s="70">
        <v>0.23330000000000001</v>
      </c>
      <c r="CH50" s="47" t="s">
        <v>585</v>
      </c>
      <c r="CK50" s="52" t="s">
        <v>625</v>
      </c>
    </row>
    <row r="51" spans="1:89" s="57" customFormat="1" ht="17" customHeight="1">
      <c r="A51" s="54">
        <v>51</v>
      </c>
      <c r="B51" s="54"/>
      <c r="C51" s="54"/>
      <c r="D51" s="55"/>
      <c r="E51" s="55" t="s">
        <v>413</v>
      </c>
      <c r="F51" s="54">
        <v>0</v>
      </c>
      <c r="G51" s="55">
        <v>55555</v>
      </c>
      <c r="H51" s="54">
        <v>0</v>
      </c>
      <c r="I51" s="54" t="s">
        <v>412</v>
      </c>
      <c r="J51" s="117"/>
      <c r="K51" s="113"/>
      <c r="L51" s="113"/>
      <c r="M51" s="113"/>
      <c r="N51" s="113"/>
      <c r="O51" s="113"/>
      <c r="P51" s="113"/>
      <c r="Q51" s="113"/>
      <c r="V51" s="54" t="s">
        <v>416</v>
      </c>
      <c r="W51" s="55"/>
      <c r="X51" s="54"/>
      <c r="Y51" s="54" t="s">
        <v>454</v>
      </c>
      <c r="Z51" s="54"/>
      <c r="AA51" s="73"/>
      <c r="AB51" s="73"/>
      <c r="AC51" s="73" t="s">
        <v>454</v>
      </c>
      <c r="AD51" s="73"/>
      <c r="AE51" s="73"/>
      <c r="AF51" s="54"/>
      <c r="AG51" s="73"/>
      <c r="AL51" s="73"/>
      <c r="AN51" s="57">
        <v>20</v>
      </c>
      <c r="AP51" s="57" t="s">
        <v>454</v>
      </c>
      <c r="AV51" s="93">
        <f t="shared" si="0"/>
        <v>0</v>
      </c>
      <c r="AW51" s="54" t="s">
        <v>454</v>
      </c>
      <c r="AZ51" s="54">
        <v>0</v>
      </c>
      <c r="BA51" s="55">
        <v>55555</v>
      </c>
      <c r="BB51" s="54" t="s">
        <v>412</v>
      </c>
      <c r="BC51" s="55"/>
      <c r="BE51" s="94" t="s">
        <v>454</v>
      </c>
      <c r="BK51" s="93">
        <f t="shared" si="1"/>
        <v>0</v>
      </c>
      <c r="BM51" s="57" t="s">
        <v>591</v>
      </c>
      <c r="BO51" s="99"/>
      <c r="BP51" s="99">
        <v>0</v>
      </c>
      <c r="CD51" s="56" t="s">
        <v>506</v>
      </c>
      <c r="CE51" s="73" t="s">
        <v>454</v>
      </c>
      <c r="CK51" s="57" t="s">
        <v>591</v>
      </c>
    </row>
    <row r="52" spans="1:89" ht="17" customHeight="1">
      <c r="A52" s="23">
        <v>52</v>
      </c>
      <c r="B52" s="23" t="s">
        <v>205</v>
      </c>
      <c r="C52" s="20">
        <v>14.1</v>
      </c>
      <c r="D52" s="22">
        <v>14</v>
      </c>
      <c r="E52" s="23" t="s">
        <v>414</v>
      </c>
      <c r="F52" s="20">
        <v>14.1</v>
      </c>
      <c r="G52" s="22">
        <v>45892</v>
      </c>
      <c r="H52" s="20">
        <v>14.1</v>
      </c>
      <c r="I52" s="23" t="s">
        <v>315</v>
      </c>
      <c r="J52" s="116">
        <v>0.56699999999999995</v>
      </c>
      <c r="K52" s="114">
        <v>1</v>
      </c>
      <c r="L52" s="114"/>
      <c r="M52" s="114"/>
      <c r="N52" s="114"/>
      <c r="O52" s="114"/>
      <c r="P52" s="114"/>
      <c r="Q52" s="114"/>
      <c r="R52" s="92" t="s">
        <v>597</v>
      </c>
      <c r="S52" s="92" t="s">
        <v>598</v>
      </c>
      <c r="T52" s="121" t="s">
        <v>615</v>
      </c>
      <c r="U52" s="92" t="s">
        <v>616</v>
      </c>
      <c r="V52" s="23" t="s">
        <v>316</v>
      </c>
      <c r="W52" s="22" t="s">
        <v>83</v>
      </c>
      <c r="X52" s="22" t="s">
        <v>83</v>
      </c>
      <c r="Y52" s="22" t="s">
        <v>445</v>
      </c>
      <c r="Z52" s="23">
        <v>17</v>
      </c>
      <c r="AA52" s="47">
        <v>17</v>
      </c>
      <c r="AB52" s="70">
        <v>0.56699999999999995</v>
      </c>
      <c r="AC52" s="47" t="s">
        <v>445</v>
      </c>
      <c r="AD52" s="71">
        <v>20</v>
      </c>
      <c r="AE52" s="71">
        <v>10</v>
      </c>
      <c r="AF52" s="69"/>
      <c r="AG52" s="72"/>
      <c r="AH52" s="52">
        <v>20</v>
      </c>
      <c r="AI52" s="52">
        <v>10</v>
      </c>
      <c r="AJ52" s="52">
        <v>30</v>
      </c>
      <c r="AK52" s="91">
        <v>1</v>
      </c>
      <c r="AL52" s="70">
        <v>0.56699999999999995</v>
      </c>
      <c r="AM52" s="91">
        <v>1</v>
      </c>
      <c r="AN52" s="98" t="s">
        <v>600</v>
      </c>
      <c r="AO52" s="98"/>
      <c r="AP52" s="52" t="s">
        <v>445</v>
      </c>
      <c r="AQ52" s="52"/>
      <c r="AR52" s="52"/>
      <c r="AS52" s="52"/>
      <c r="AT52" s="52"/>
      <c r="AU52" s="52"/>
      <c r="AV52" s="89">
        <f t="shared" si="0"/>
        <v>0</v>
      </c>
      <c r="AW52" s="22" t="s">
        <v>445</v>
      </c>
      <c r="AX52" s="92"/>
      <c r="AZ52" s="20">
        <v>14.1</v>
      </c>
      <c r="BA52" s="22">
        <v>45892</v>
      </c>
      <c r="BB52" s="23" t="s">
        <v>315</v>
      </c>
      <c r="BC52" s="22" t="s">
        <v>83</v>
      </c>
      <c r="BE52" s="62" t="s">
        <v>445</v>
      </c>
      <c r="BF52" s="99"/>
      <c r="BG52" s="99"/>
      <c r="BH52" s="99"/>
      <c r="BI52" s="99"/>
      <c r="BK52" s="90">
        <f t="shared" si="1"/>
        <v>0</v>
      </c>
      <c r="BM52" s="52" t="s">
        <v>591</v>
      </c>
      <c r="BO52" s="99">
        <v>23</v>
      </c>
      <c r="BP52" s="99">
        <v>0</v>
      </c>
      <c r="CD52" s="51" t="s">
        <v>536</v>
      </c>
      <c r="CE52" s="47" t="s">
        <v>445</v>
      </c>
      <c r="CF52" s="70">
        <v>0.56699999999999995</v>
      </c>
      <c r="CG52" s="70">
        <v>1</v>
      </c>
      <c r="CH52" s="47" t="s">
        <v>586</v>
      </c>
      <c r="CK52" s="52" t="s">
        <v>591</v>
      </c>
    </row>
    <row r="53" spans="1:89" ht="17" customHeight="1">
      <c r="A53" s="23">
        <v>53</v>
      </c>
      <c r="B53" s="23" t="s">
        <v>205</v>
      </c>
      <c r="C53" s="20">
        <v>14.1</v>
      </c>
      <c r="D53" s="22">
        <v>15</v>
      </c>
      <c r="E53" s="23" t="s">
        <v>415</v>
      </c>
      <c r="F53" s="20">
        <v>14.1</v>
      </c>
      <c r="G53" s="22">
        <v>46491</v>
      </c>
      <c r="H53" s="20">
        <v>14.1</v>
      </c>
      <c r="I53" s="22" t="s">
        <v>86</v>
      </c>
      <c r="J53" s="116">
        <v>0.76700000000000002</v>
      </c>
      <c r="K53" s="114">
        <v>0.4667</v>
      </c>
      <c r="L53" s="114"/>
      <c r="M53" s="114"/>
      <c r="N53" s="114"/>
      <c r="O53" s="114"/>
      <c r="P53" s="114"/>
      <c r="Q53" s="114"/>
      <c r="R53" s="81">
        <v>20</v>
      </c>
      <c r="S53" s="81">
        <v>16</v>
      </c>
      <c r="T53" s="82">
        <v>19.5</v>
      </c>
      <c r="U53" s="83">
        <v>19.5</v>
      </c>
      <c r="V53" s="23" t="s">
        <v>318</v>
      </c>
      <c r="W53" s="22" t="s">
        <v>86</v>
      </c>
      <c r="X53" s="23" t="s">
        <v>216</v>
      </c>
      <c r="Y53" s="23" t="s">
        <v>455</v>
      </c>
      <c r="Z53" s="23">
        <v>-7</v>
      </c>
      <c r="AA53" s="47">
        <v>23</v>
      </c>
      <c r="AB53" s="70">
        <v>0.76700000000000002</v>
      </c>
      <c r="AC53" s="47" t="s">
        <v>455</v>
      </c>
      <c r="AD53" s="71">
        <v>8</v>
      </c>
      <c r="AE53" s="71">
        <v>6</v>
      </c>
      <c r="AF53" s="69"/>
      <c r="AG53" s="72"/>
      <c r="AH53" s="52">
        <v>8</v>
      </c>
      <c r="AI53" s="52">
        <v>6</v>
      </c>
      <c r="AJ53" s="52">
        <v>14</v>
      </c>
      <c r="AK53" s="88">
        <v>0.4667</v>
      </c>
      <c r="AL53" s="70">
        <v>0.76700000000000002</v>
      </c>
      <c r="AM53" s="88">
        <v>0.4667</v>
      </c>
      <c r="AN53" s="52">
        <v>20</v>
      </c>
      <c r="AO53" s="52">
        <v>16</v>
      </c>
      <c r="AP53" s="52" t="s">
        <v>455</v>
      </c>
      <c r="AQ53" s="52">
        <v>4.5</v>
      </c>
      <c r="AR53" s="52">
        <v>5</v>
      </c>
      <c r="AS53" s="52">
        <v>5</v>
      </c>
      <c r="AT53" s="52">
        <v>5</v>
      </c>
      <c r="AU53" s="52">
        <v>19.5</v>
      </c>
      <c r="AV53" s="89">
        <f t="shared" si="0"/>
        <v>19.5</v>
      </c>
      <c r="AW53" s="23" t="s">
        <v>455</v>
      </c>
      <c r="AX53" s="82">
        <v>19.5</v>
      </c>
      <c r="AZ53" s="20">
        <v>14.1</v>
      </c>
      <c r="BA53" s="22">
        <v>46491</v>
      </c>
      <c r="BB53" s="142" t="s">
        <v>317</v>
      </c>
      <c r="BC53" s="22" t="s">
        <v>86</v>
      </c>
      <c r="BE53" s="62" t="s">
        <v>455</v>
      </c>
      <c r="BF53" s="62">
        <v>5</v>
      </c>
      <c r="BG53" s="62">
        <v>5</v>
      </c>
      <c r="BH53" s="62">
        <v>5</v>
      </c>
      <c r="BI53" s="62">
        <v>4.5</v>
      </c>
      <c r="BJ53" s="62">
        <v>19.5</v>
      </c>
      <c r="BK53" s="90">
        <f t="shared" si="1"/>
        <v>19.5</v>
      </c>
      <c r="BL53" s="83">
        <v>19.5</v>
      </c>
      <c r="BM53" s="52" t="s">
        <v>593</v>
      </c>
      <c r="BO53" s="99">
        <v>17</v>
      </c>
      <c r="BP53" s="99">
        <v>0</v>
      </c>
      <c r="CD53" s="51" t="s">
        <v>537</v>
      </c>
      <c r="CE53" s="47" t="s">
        <v>455</v>
      </c>
      <c r="CF53" s="70">
        <v>0.76700000000000002</v>
      </c>
      <c r="CG53" s="70">
        <v>0.4667</v>
      </c>
      <c r="CH53" s="47" t="s">
        <v>574</v>
      </c>
      <c r="CK53" s="52" t="s">
        <v>625</v>
      </c>
    </row>
    <row r="54" spans="1:89" s="57" customFormat="1" ht="17" customHeight="1">
      <c r="A54" s="54">
        <v>54</v>
      </c>
      <c r="B54" s="54" t="s">
        <v>208</v>
      </c>
      <c r="C54" s="54">
        <v>15.3</v>
      </c>
      <c r="D54" s="61">
        <v>15.3</v>
      </c>
      <c r="E54" s="54" t="s">
        <v>417</v>
      </c>
      <c r="F54" s="54">
        <v>15.3</v>
      </c>
      <c r="G54" s="54">
        <v>15.3</v>
      </c>
      <c r="H54" s="54">
        <v>15.3</v>
      </c>
      <c r="I54" s="54">
        <v>15.3</v>
      </c>
      <c r="J54" s="117"/>
      <c r="K54" s="113"/>
      <c r="L54" s="113"/>
      <c r="M54" s="113"/>
      <c r="N54" s="113"/>
      <c r="O54" s="113"/>
      <c r="P54" s="113"/>
      <c r="Q54" s="113"/>
      <c r="V54" s="54" t="s">
        <v>233</v>
      </c>
      <c r="W54" s="55"/>
      <c r="X54" s="54"/>
      <c r="Y54" s="54"/>
      <c r="Z54" s="54"/>
      <c r="AA54" s="73"/>
      <c r="AB54" s="73"/>
      <c r="AC54" s="73"/>
      <c r="AD54" s="73"/>
      <c r="AE54" s="73"/>
      <c r="AF54" s="54"/>
      <c r="AG54" s="73"/>
      <c r="AL54" s="73"/>
      <c r="AV54" s="93">
        <f t="shared" si="0"/>
        <v>0</v>
      </c>
      <c r="AW54" s="54"/>
      <c r="AZ54" s="54">
        <v>15.3</v>
      </c>
      <c r="BA54" s="54">
        <v>15.3</v>
      </c>
      <c r="BB54" s="54">
        <v>15.3</v>
      </c>
      <c r="BC54" s="55"/>
      <c r="BE54" s="94"/>
      <c r="BF54" s="73"/>
      <c r="BG54" s="73"/>
      <c r="BH54" s="73"/>
      <c r="BI54" s="73"/>
      <c r="BJ54" s="73"/>
      <c r="BK54" s="93">
        <f t="shared" si="1"/>
        <v>0</v>
      </c>
      <c r="BM54" s="57" t="s">
        <v>591</v>
      </c>
      <c r="BO54" s="99"/>
      <c r="BP54" s="99">
        <v>0</v>
      </c>
      <c r="CE54" s="73"/>
      <c r="CK54" s="57" t="s">
        <v>591</v>
      </c>
    </row>
    <row r="55" spans="1:89" ht="17" customHeight="1">
      <c r="A55" s="23">
        <v>55</v>
      </c>
      <c r="B55" s="23" t="s">
        <v>202</v>
      </c>
      <c r="C55" s="20">
        <v>15.3</v>
      </c>
      <c r="D55" s="25">
        <v>1</v>
      </c>
      <c r="E55" s="22" t="s">
        <v>418</v>
      </c>
      <c r="F55" s="20">
        <v>15.3</v>
      </c>
      <c r="G55" s="26">
        <v>43162</v>
      </c>
      <c r="H55" s="20">
        <v>15.3</v>
      </c>
      <c r="I55" s="23" t="s">
        <v>319</v>
      </c>
      <c r="J55" s="116">
        <v>0.76700000000000002</v>
      </c>
      <c r="K55" s="114">
        <v>0.33329999999999999</v>
      </c>
      <c r="L55" s="114"/>
      <c r="M55" s="114"/>
      <c r="N55" s="114"/>
      <c r="O55" s="114"/>
      <c r="P55" s="114"/>
      <c r="Q55" s="114"/>
      <c r="R55" s="81">
        <v>7</v>
      </c>
      <c r="S55" s="81">
        <v>13</v>
      </c>
      <c r="T55" s="82">
        <v>19.5</v>
      </c>
      <c r="U55" s="83">
        <v>19.5</v>
      </c>
      <c r="V55" s="23" t="s">
        <v>320</v>
      </c>
      <c r="W55" s="25" t="s">
        <v>196</v>
      </c>
      <c r="X55" s="23" t="s">
        <v>396</v>
      </c>
      <c r="Y55" s="23" t="s">
        <v>444</v>
      </c>
      <c r="Z55" s="23">
        <v>-7</v>
      </c>
      <c r="AA55" s="47">
        <v>23</v>
      </c>
      <c r="AB55" s="70">
        <v>0.76700000000000002</v>
      </c>
      <c r="AC55" s="47" t="s">
        <v>444</v>
      </c>
      <c r="AD55" s="71">
        <v>6</v>
      </c>
      <c r="AE55" s="71">
        <v>4</v>
      </c>
      <c r="AF55" s="69"/>
      <c r="AG55" s="72"/>
      <c r="AH55" s="52">
        <v>6</v>
      </c>
      <c r="AI55" s="52">
        <v>4</v>
      </c>
      <c r="AJ55" s="52">
        <v>10</v>
      </c>
      <c r="AK55" s="88">
        <v>0.33329999999999999</v>
      </c>
      <c r="AL55" s="70">
        <v>0.76700000000000002</v>
      </c>
      <c r="AM55" s="88">
        <v>0.33329999999999999</v>
      </c>
      <c r="AN55" s="52">
        <v>7</v>
      </c>
      <c r="AO55" s="52">
        <v>13</v>
      </c>
      <c r="AP55" s="52" t="s">
        <v>444</v>
      </c>
      <c r="AQ55" s="52">
        <v>4.5</v>
      </c>
      <c r="AR55" s="52">
        <v>5</v>
      </c>
      <c r="AS55" s="52">
        <v>5</v>
      </c>
      <c r="AT55" s="52">
        <v>5</v>
      </c>
      <c r="AU55" s="52">
        <v>19.5</v>
      </c>
      <c r="AV55" s="89">
        <f t="shared" si="0"/>
        <v>19.5</v>
      </c>
      <c r="AW55" s="23" t="s">
        <v>444</v>
      </c>
      <c r="AX55" s="82">
        <v>19.5</v>
      </c>
      <c r="AZ55" s="20">
        <v>15.3</v>
      </c>
      <c r="BA55" s="26">
        <v>43162</v>
      </c>
      <c r="BB55" s="23" t="s">
        <v>319</v>
      </c>
      <c r="BC55" s="25" t="s">
        <v>196</v>
      </c>
      <c r="BE55" s="62" t="s">
        <v>444</v>
      </c>
      <c r="BF55" s="62">
        <v>5</v>
      </c>
      <c r="BG55" s="62">
        <v>5</v>
      </c>
      <c r="BH55" s="62">
        <v>5</v>
      </c>
      <c r="BI55" s="62">
        <v>4.5</v>
      </c>
      <c r="BJ55" s="62">
        <v>19.5</v>
      </c>
      <c r="BK55" s="90">
        <f t="shared" si="1"/>
        <v>19.5</v>
      </c>
      <c r="BL55" s="83">
        <v>19.5</v>
      </c>
      <c r="BM55" s="52" t="s">
        <v>593</v>
      </c>
      <c r="BO55" s="99">
        <v>12</v>
      </c>
      <c r="BP55" s="99">
        <v>0</v>
      </c>
      <c r="CD55" s="51" t="s">
        <v>538</v>
      </c>
      <c r="CE55" s="47" t="s">
        <v>444</v>
      </c>
      <c r="CF55" s="70">
        <v>0.76700000000000002</v>
      </c>
      <c r="CG55" s="70">
        <v>0.33329999999999999</v>
      </c>
      <c r="CH55" s="47" t="s">
        <v>587</v>
      </c>
      <c r="CK55" s="52" t="s">
        <v>625</v>
      </c>
    </row>
    <row r="56" spans="1:89" ht="17" customHeight="1">
      <c r="A56" s="23">
        <v>56</v>
      </c>
      <c r="B56" s="23" t="s">
        <v>202</v>
      </c>
      <c r="C56" s="20">
        <v>15.3</v>
      </c>
      <c r="D56" s="25">
        <v>2</v>
      </c>
      <c r="E56" s="22" t="s">
        <v>419</v>
      </c>
      <c r="F56" s="20">
        <v>15.3</v>
      </c>
      <c r="G56" s="25">
        <v>43172</v>
      </c>
      <c r="H56" s="20">
        <v>15.3</v>
      </c>
      <c r="I56" s="23" t="s">
        <v>321</v>
      </c>
      <c r="J56" s="116">
        <v>0.86699999999999999</v>
      </c>
      <c r="K56" s="114">
        <v>0.93330000000000002</v>
      </c>
      <c r="L56" s="114"/>
      <c r="M56" s="114"/>
      <c r="N56" s="114"/>
      <c r="O56" s="114"/>
      <c r="P56" s="114"/>
      <c r="Q56" s="114"/>
      <c r="R56" s="92" t="s">
        <v>597</v>
      </c>
      <c r="S56" s="92" t="s">
        <v>598</v>
      </c>
      <c r="T56" s="121" t="s">
        <v>615</v>
      </c>
      <c r="U56" s="92" t="s">
        <v>616</v>
      </c>
      <c r="V56" s="23" t="s">
        <v>322</v>
      </c>
      <c r="W56" s="25" t="s">
        <v>197</v>
      </c>
      <c r="X56" s="23" t="s">
        <v>389</v>
      </c>
      <c r="Y56" s="23" t="s">
        <v>446</v>
      </c>
      <c r="Z56" s="23">
        <v>-4</v>
      </c>
      <c r="AA56" s="47">
        <v>26</v>
      </c>
      <c r="AB56" s="70">
        <v>0.86699999999999999</v>
      </c>
      <c r="AC56" s="47" t="s">
        <v>446</v>
      </c>
      <c r="AD56" s="71">
        <v>18</v>
      </c>
      <c r="AE56" s="71">
        <v>10</v>
      </c>
      <c r="AF56" s="69"/>
      <c r="AG56" s="72"/>
      <c r="AH56" s="52">
        <v>18</v>
      </c>
      <c r="AI56" s="52">
        <v>10</v>
      </c>
      <c r="AJ56" s="52">
        <v>28</v>
      </c>
      <c r="AK56" s="91">
        <v>0.93330000000000002</v>
      </c>
      <c r="AL56" s="70">
        <v>0.86699999999999999</v>
      </c>
      <c r="AM56" s="91">
        <v>0.93330000000000002</v>
      </c>
      <c r="AN56" s="92" t="s">
        <v>600</v>
      </c>
      <c r="AO56" s="92" t="s">
        <v>600</v>
      </c>
      <c r="AP56" s="52" t="s">
        <v>446</v>
      </c>
      <c r="AQ56" s="52"/>
      <c r="AR56" s="52"/>
      <c r="AS56" s="52"/>
      <c r="AT56" s="52"/>
      <c r="AU56" s="52"/>
      <c r="AV56" s="89">
        <f t="shared" si="0"/>
        <v>0</v>
      </c>
      <c r="AW56" s="23" t="s">
        <v>446</v>
      </c>
      <c r="AX56" s="92"/>
      <c r="AZ56" s="20">
        <v>15.3</v>
      </c>
      <c r="BA56" s="25">
        <v>43172</v>
      </c>
      <c r="BB56" s="23" t="s">
        <v>321</v>
      </c>
      <c r="BC56" s="25" t="s">
        <v>197</v>
      </c>
      <c r="BE56" s="62" t="s">
        <v>446</v>
      </c>
      <c r="BF56" s="99"/>
      <c r="BG56" s="99"/>
      <c r="BH56" s="99"/>
      <c r="BI56" s="99"/>
      <c r="BK56" s="90">
        <f t="shared" si="1"/>
        <v>0</v>
      </c>
      <c r="BM56" s="52" t="s">
        <v>591</v>
      </c>
      <c r="BO56" s="98"/>
      <c r="BP56" s="99">
        <v>0</v>
      </c>
      <c r="CD56" s="51" t="s">
        <v>539</v>
      </c>
      <c r="CE56" s="47" t="s">
        <v>446</v>
      </c>
      <c r="CF56" s="70">
        <v>0.86699999999999999</v>
      </c>
      <c r="CG56" s="70">
        <v>0.93330000000000002</v>
      </c>
      <c r="CH56" s="47" t="s">
        <v>579</v>
      </c>
      <c r="CK56" s="52" t="s">
        <v>591</v>
      </c>
    </row>
    <row r="57" spans="1:89" ht="17" customHeight="1">
      <c r="A57" s="23">
        <v>57</v>
      </c>
      <c r="B57" s="23" t="s">
        <v>202</v>
      </c>
      <c r="C57" s="20">
        <v>15.3</v>
      </c>
      <c r="D57" s="25">
        <v>3</v>
      </c>
      <c r="E57" s="22" t="s">
        <v>420</v>
      </c>
      <c r="F57" s="20">
        <v>15.3</v>
      </c>
      <c r="G57" s="25">
        <v>43225</v>
      </c>
      <c r="H57" s="20">
        <v>15.3</v>
      </c>
      <c r="I57" s="23" t="s">
        <v>323</v>
      </c>
      <c r="J57" s="116">
        <v>0.26700000000000002</v>
      </c>
      <c r="K57" s="114">
        <v>0.1333</v>
      </c>
      <c r="L57" s="114"/>
      <c r="M57" s="114"/>
      <c r="N57" s="114"/>
      <c r="O57" s="114"/>
      <c r="P57" s="114"/>
      <c r="Q57" s="114"/>
      <c r="R57" s="81">
        <v>6</v>
      </c>
      <c r="S57" s="81">
        <v>8</v>
      </c>
      <c r="T57" s="92" t="s">
        <v>615</v>
      </c>
      <c r="U57" s="121" t="s">
        <v>616</v>
      </c>
      <c r="V57" s="23" t="s">
        <v>324</v>
      </c>
      <c r="W57" s="25" t="s">
        <v>186</v>
      </c>
      <c r="X57" s="23" t="s">
        <v>384</v>
      </c>
      <c r="Y57" s="23" t="s">
        <v>447</v>
      </c>
      <c r="Z57" s="23">
        <v>-22</v>
      </c>
      <c r="AA57" s="47">
        <v>8</v>
      </c>
      <c r="AB57" s="70">
        <v>0.26700000000000002</v>
      </c>
      <c r="AC57" s="47" t="s">
        <v>447</v>
      </c>
      <c r="AD57" s="71">
        <v>1</v>
      </c>
      <c r="AE57" s="71">
        <v>3</v>
      </c>
      <c r="AF57" s="69"/>
      <c r="AG57" s="72"/>
      <c r="AH57" s="52">
        <v>1</v>
      </c>
      <c r="AI57" s="52">
        <v>3</v>
      </c>
      <c r="AJ57" s="52">
        <v>4</v>
      </c>
      <c r="AK57" s="88">
        <v>0.1333</v>
      </c>
      <c r="AL57" s="70">
        <v>0.26700000000000002</v>
      </c>
      <c r="AM57" s="88">
        <v>0.1333</v>
      </c>
      <c r="AN57" s="52">
        <v>6</v>
      </c>
      <c r="AO57" s="52">
        <v>8</v>
      </c>
      <c r="AP57" s="52" t="s">
        <v>447</v>
      </c>
      <c r="AQ57" s="52"/>
      <c r="AR57" s="52"/>
      <c r="AS57" s="52"/>
      <c r="AT57" s="52"/>
      <c r="AU57" s="52"/>
      <c r="AV57" s="89">
        <f t="shared" si="0"/>
        <v>0</v>
      </c>
      <c r="AW57" s="23" t="s">
        <v>447</v>
      </c>
      <c r="AX57" s="92"/>
      <c r="AZ57" s="20">
        <v>15.3</v>
      </c>
      <c r="BA57" s="25">
        <v>43225</v>
      </c>
      <c r="BB57" s="23" t="s">
        <v>323</v>
      </c>
      <c r="BC57" s="25" t="s">
        <v>186</v>
      </c>
      <c r="BE57" s="62" t="s">
        <v>447</v>
      </c>
      <c r="BF57" s="99"/>
      <c r="BG57" s="99"/>
      <c r="BH57" s="99"/>
      <c r="BI57" s="99"/>
      <c r="BK57" s="90">
        <f t="shared" si="1"/>
        <v>0</v>
      </c>
      <c r="BM57" s="52" t="s">
        <v>593</v>
      </c>
      <c r="BO57" s="99">
        <v>6</v>
      </c>
      <c r="BP57" s="99">
        <v>0</v>
      </c>
      <c r="CD57" s="51" t="s">
        <v>540</v>
      </c>
      <c r="CE57" s="47" t="s">
        <v>447</v>
      </c>
      <c r="CF57" s="70">
        <v>0.26700000000000002</v>
      </c>
      <c r="CG57" s="70">
        <v>0.1333</v>
      </c>
      <c r="CH57" s="47" t="s">
        <v>585</v>
      </c>
      <c r="CK57" s="52" t="s">
        <v>625</v>
      </c>
    </row>
    <row r="58" spans="1:89" ht="17" customHeight="1">
      <c r="A58" s="23">
        <v>58</v>
      </c>
      <c r="B58" s="23" t="s">
        <v>203</v>
      </c>
      <c r="C58" s="20">
        <v>15.3</v>
      </c>
      <c r="D58" s="27">
        <v>4</v>
      </c>
      <c r="E58" s="22" t="s">
        <v>421</v>
      </c>
      <c r="F58" s="20">
        <v>15.3</v>
      </c>
      <c r="G58" s="25">
        <v>43245</v>
      </c>
      <c r="H58" s="20">
        <v>15.3</v>
      </c>
      <c r="I58" s="23" t="s">
        <v>59</v>
      </c>
      <c r="J58" s="116">
        <v>0.66700000000000004</v>
      </c>
      <c r="K58" s="114">
        <v>0.6</v>
      </c>
      <c r="L58" s="114"/>
      <c r="M58" s="114"/>
      <c r="N58" s="114"/>
      <c r="O58" s="114"/>
      <c r="P58" s="114"/>
      <c r="Q58" s="114"/>
      <c r="R58" s="81">
        <v>11</v>
      </c>
      <c r="S58" s="81">
        <v>17</v>
      </c>
      <c r="T58" s="82">
        <v>18</v>
      </c>
      <c r="U58" s="83">
        <v>18</v>
      </c>
      <c r="V58" s="23" t="s">
        <v>325</v>
      </c>
      <c r="W58" s="25" t="s">
        <v>188</v>
      </c>
      <c r="X58" s="23" t="s">
        <v>392</v>
      </c>
      <c r="Y58" s="23" t="s">
        <v>448</v>
      </c>
      <c r="Z58" s="23">
        <v>-10</v>
      </c>
      <c r="AA58" s="47">
        <v>20</v>
      </c>
      <c r="AB58" s="70">
        <v>0.66700000000000004</v>
      </c>
      <c r="AC58" s="47" t="s">
        <v>448</v>
      </c>
      <c r="AD58" s="71">
        <v>10</v>
      </c>
      <c r="AE58" s="71">
        <v>8</v>
      </c>
      <c r="AF58" s="69"/>
      <c r="AG58" s="72"/>
      <c r="AH58" s="52">
        <v>10</v>
      </c>
      <c r="AI58" s="52">
        <v>8</v>
      </c>
      <c r="AJ58" s="52">
        <v>18</v>
      </c>
      <c r="AK58" s="88">
        <v>0.6</v>
      </c>
      <c r="AL58" s="70">
        <v>0.66700000000000004</v>
      </c>
      <c r="AM58" s="88">
        <v>0.6</v>
      </c>
      <c r="AN58" s="52">
        <v>11</v>
      </c>
      <c r="AO58" s="52">
        <v>17</v>
      </c>
      <c r="AP58" s="52" t="s">
        <v>448</v>
      </c>
      <c r="AQ58" s="52">
        <v>3.75</v>
      </c>
      <c r="AR58" s="52">
        <v>4.75</v>
      </c>
      <c r="AS58" s="52">
        <v>4.75</v>
      </c>
      <c r="AT58" s="52">
        <v>4.75</v>
      </c>
      <c r="AU58" s="52">
        <v>18</v>
      </c>
      <c r="AV58" s="89">
        <f t="shared" si="0"/>
        <v>18</v>
      </c>
      <c r="AW58" s="23" t="s">
        <v>448</v>
      </c>
      <c r="AX58" s="82">
        <v>18</v>
      </c>
      <c r="AZ58" s="20">
        <v>15.3</v>
      </c>
      <c r="BA58" s="25">
        <v>43245</v>
      </c>
      <c r="BB58" s="23" t="s">
        <v>59</v>
      </c>
      <c r="BC58" s="25" t="s">
        <v>188</v>
      </c>
      <c r="BE58" s="62" t="s">
        <v>448</v>
      </c>
      <c r="BF58" s="62">
        <v>4.5</v>
      </c>
      <c r="BG58" s="62">
        <v>4.5</v>
      </c>
      <c r="BH58" s="62">
        <v>4.5</v>
      </c>
      <c r="BI58" s="62">
        <v>4.5</v>
      </c>
      <c r="BJ58" s="62">
        <v>18</v>
      </c>
      <c r="BK58" s="90">
        <f t="shared" si="1"/>
        <v>18</v>
      </c>
      <c r="BL58" s="83">
        <v>18</v>
      </c>
      <c r="BM58" s="52" t="s">
        <v>593</v>
      </c>
      <c r="BO58" s="99">
        <v>14</v>
      </c>
      <c r="BP58" s="99">
        <v>0</v>
      </c>
      <c r="CD58" s="51" t="s">
        <v>541</v>
      </c>
      <c r="CE58" s="47" t="s">
        <v>448</v>
      </c>
      <c r="CF58" s="70">
        <v>0.66700000000000004</v>
      </c>
      <c r="CG58" s="70">
        <v>0.6</v>
      </c>
      <c r="CH58" s="47" t="s">
        <v>571</v>
      </c>
      <c r="CK58" s="52" t="s">
        <v>625</v>
      </c>
    </row>
    <row r="59" spans="1:89" s="57" customFormat="1" ht="17" customHeight="1">
      <c r="A59" s="54">
        <v>59</v>
      </c>
      <c r="B59" s="54"/>
      <c r="C59" s="54"/>
      <c r="D59" s="58"/>
      <c r="E59" s="55" t="s">
        <v>411</v>
      </c>
      <c r="F59" s="54">
        <v>0</v>
      </c>
      <c r="G59" s="55">
        <v>55555</v>
      </c>
      <c r="H59" s="54">
        <v>0</v>
      </c>
      <c r="I59" s="54" t="s">
        <v>412</v>
      </c>
      <c r="J59" s="117"/>
      <c r="K59" s="113"/>
      <c r="L59" s="113"/>
      <c r="M59" s="113"/>
      <c r="N59" s="113"/>
      <c r="O59" s="113"/>
      <c r="P59" s="113"/>
      <c r="Q59" s="113"/>
      <c r="R59" s="81"/>
      <c r="S59" s="81"/>
      <c r="V59" s="54" t="s">
        <v>416</v>
      </c>
      <c r="W59" s="60"/>
      <c r="X59" s="54"/>
      <c r="Y59" s="54" t="s">
        <v>449</v>
      </c>
      <c r="Z59" s="54"/>
      <c r="AA59" s="73"/>
      <c r="AB59" s="73"/>
      <c r="AC59" s="73" t="s">
        <v>449</v>
      </c>
      <c r="AD59" s="73"/>
      <c r="AE59" s="73"/>
      <c r="AF59" s="54"/>
      <c r="AG59" s="73"/>
      <c r="AL59" s="73"/>
      <c r="AP59" s="57" t="s">
        <v>449</v>
      </c>
      <c r="AV59" s="93">
        <f t="shared" si="0"/>
        <v>0</v>
      </c>
      <c r="AW59" s="54" t="s">
        <v>449</v>
      </c>
      <c r="AZ59" s="54">
        <v>0</v>
      </c>
      <c r="BA59" s="55">
        <v>55555</v>
      </c>
      <c r="BB59" s="54" t="s">
        <v>412</v>
      </c>
      <c r="BC59" s="60"/>
      <c r="BE59" s="94" t="s">
        <v>449</v>
      </c>
      <c r="BK59" s="93">
        <f t="shared" si="1"/>
        <v>0</v>
      </c>
      <c r="BM59" s="57" t="s">
        <v>591</v>
      </c>
      <c r="BO59" s="99"/>
      <c r="BP59" s="99">
        <v>0</v>
      </c>
      <c r="CD59" s="56" t="s">
        <v>496</v>
      </c>
      <c r="CE59" s="73" t="s">
        <v>449</v>
      </c>
      <c r="CK59" s="57" t="s">
        <v>591</v>
      </c>
    </row>
    <row r="60" spans="1:89" ht="17" customHeight="1">
      <c r="A60" s="23">
        <v>60</v>
      </c>
      <c r="B60" s="23" t="s">
        <v>203</v>
      </c>
      <c r="C60" s="20">
        <v>15.3</v>
      </c>
      <c r="D60" s="27">
        <v>5</v>
      </c>
      <c r="E60" s="22" t="s">
        <v>422</v>
      </c>
      <c r="F60" s="20">
        <v>15.3</v>
      </c>
      <c r="G60" s="25">
        <v>43249</v>
      </c>
      <c r="H60" s="20">
        <v>15.3</v>
      </c>
      <c r="I60" s="23" t="s">
        <v>326</v>
      </c>
      <c r="J60" s="116">
        <v>0.9</v>
      </c>
      <c r="K60" s="114">
        <v>1</v>
      </c>
      <c r="L60" s="114"/>
      <c r="M60" s="114"/>
      <c r="N60" s="114"/>
      <c r="O60" s="114"/>
      <c r="P60" s="114"/>
      <c r="Q60" s="114"/>
      <c r="R60" s="81">
        <v>20</v>
      </c>
      <c r="S60" s="81">
        <v>19</v>
      </c>
      <c r="T60" s="82">
        <v>20</v>
      </c>
      <c r="U60" s="83">
        <v>20</v>
      </c>
      <c r="V60" s="23" t="s">
        <v>327</v>
      </c>
      <c r="W60" s="27" t="s">
        <v>199</v>
      </c>
      <c r="X60" s="23" t="s">
        <v>390</v>
      </c>
      <c r="Y60" s="23" t="s">
        <v>450</v>
      </c>
      <c r="Z60" s="23">
        <v>-3</v>
      </c>
      <c r="AA60" s="47">
        <v>27</v>
      </c>
      <c r="AB60" s="70">
        <v>0.9</v>
      </c>
      <c r="AC60" s="47" t="s">
        <v>450</v>
      </c>
      <c r="AD60" s="71">
        <v>20</v>
      </c>
      <c r="AE60" s="71">
        <v>10</v>
      </c>
      <c r="AF60" s="69"/>
      <c r="AG60" s="72"/>
      <c r="AH60" s="52">
        <v>20</v>
      </c>
      <c r="AI60" s="52">
        <v>10</v>
      </c>
      <c r="AJ60" s="52">
        <v>30</v>
      </c>
      <c r="AK60" s="91">
        <v>1</v>
      </c>
      <c r="AL60" s="70">
        <v>0.9</v>
      </c>
      <c r="AM60" s="91">
        <v>1</v>
      </c>
      <c r="AN60" s="52">
        <v>20</v>
      </c>
      <c r="AO60" s="52">
        <v>19</v>
      </c>
      <c r="AP60" s="52" t="s">
        <v>450</v>
      </c>
      <c r="AQ60" s="52">
        <v>5</v>
      </c>
      <c r="AR60" s="52">
        <v>5</v>
      </c>
      <c r="AS60" s="52">
        <v>5</v>
      </c>
      <c r="AT60" s="52">
        <v>5</v>
      </c>
      <c r="AU60" s="52">
        <v>20</v>
      </c>
      <c r="AV60" s="89">
        <f t="shared" si="0"/>
        <v>20</v>
      </c>
      <c r="AW60" s="23" t="s">
        <v>450</v>
      </c>
      <c r="AX60" s="82">
        <v>20</v>
      </c>
      <c r="AZ60" s="20">
        <v>15.3</v>
      </c>
      <c r="BA60" s="25">
        <v>43249</v>
      </c>
      <c r="BB60" s="23" t="s">
        <v>326</v>
      </c>
      <c r="BC60" s="27" t="s">
        <v>199</v>
      </c>
      <c r="BE60" s="62" t="s">
        <v>450</v>
      </c>
      <c r="BF60" s="62">
        <v>5</v>
      </c>
      <c r="BG60" s="62">
        <v>5</v>
      </c>
      <c r="BH60" s="62">
        <v>5</v>
      </c>
      <c r="BI60" s="62">
        <v>5</v>
      </c>
      <c r="BJ60" s="62">
        <v>20</v>
      </c>
      <c r="BK60" s="90">
        <f t="shared" si="1"/>
        <v>20</v>
      </c>
      <c r="BL60" s="83">
        <v>20</v>
      </c>
      <c r="BM60" s="52" t="s">
        <v>591</v>
      </c>
      <c r="BO60" s="99">
        <v>28</v>
      </c>
      <c r="BP60" s="99">
        <v>0</v>
      </c>
      <c r="CD60" s="51" t="s">
        <v>542</v>
      </c>
      <c r="CE60" s="47" t="s">
        <v>450</v>
      </c>
      <c r="CF60" s="70">
        <v>0.9</v>
      </c>
      <c r="CG60" s="70">
        <v>1</v>
      </c>
      <c r="CH60" s="47" t="s">
        <v>578</v>
      </c>
      <c r="CK60" s="52" t="s">
        <v>591</v>
      </c>
    </row>
    <row r="61" spans="1:89" ht="17" customHeight="1">
      <c r="A61" s="23">
        <v>61</v>
      </c>
      <c r="B61" s="23" t="s">
        <v>203</v>
      </c>
      <c r="C61" s="20">
        <v>15.3</v>
      </c>
      <c r="D61" s="27">
        <v>6</v>
      </c>
      <c r="E61" s="22" t="s">
        <v>423</v>
      </c>
      <c r="F61" s="20">
        <v>15.3</v>
      </c>
      <c r="G61" s="25">
        <v>43261</v>
      </c>
      <c r="H61" s="20">
        <v>15.3</v>
      </c>
      <c r="I61" s="23" t="s">
        <v>328</v>
      </c>
      <c r="J61" s="116">
        <v>0.76700000000000002</v>
      </c>
      <c r="K61" s="119" t="s">
        <v>478</v>
      </c>
      <c r="L61" s="114"/>
      <c r="M61" s="114"/>
      <c r="N61" s="114"/>
      <c r="O61" s="114"/>
      <c r="P61" s="114"/>
      <c r="Q61" s="114"/>
      <c r="R61" s="81">
        <v>12</v>
      </c>
      <c r="S61" s="81">
        <v>17</v>
      </c>
      <c r="T61" s="82">
        <v>18</v>
      </c>
      <c r="U61" s="83">
        <v>18</v>
      </c>
      <c r="V61" s="23" t="s">
        <v>329</v>
      </c>
      <c r="W61" s="25" t="s">
        <v>190</v>
      </c>
      <c r="X61" s="23" t="s">
        <v>385</v>
      </c>
      <c r="Y61" s="23" t="s">
        <v>442</v>
      </c>
      <c r="Z61" s="23">
        <v>-7</v>
      </c>
      <c r="AA61" s="47">
        <v>23</v>
      </c>
      <c r="AB61" s="70">
        <v>0.76700000000000002</v>
      </c>
      <c r="AC61" s="47" t="s">
        <v>442</v>
      </c>
      <c r="AF61" s="69"/>
      <c r="AG61" s="72"/>
      <c r="AK61" s="96"/>
      <c r="AL61" s="70">
        <v>0.76700000000000002</v>
      </c>
      <c r="AM61" s="96"/>
      <c r="AN61" s="52">
        <v>12</v>
      </c>
      <c r="AO61" s="52">
        <v>17</v>
      </c>
      <c r="AP61" s="52" t="s">
        <v>442</v>
      </c>
      <c r="AQ61" s="52">
        <v>3.75</v>
      </c>
      <c r="AR61" s="52">
        <v>4.75</v>
      </c>
      <c r="AS61" s="52">
        <v>4.75</v>
      </c>
      <c r="AT61" s="52">
        <v>4.75</v>
      </c>
      <c r="AU61" s="52">
        <v>18</v>
      </c>
      <c r="AV61" s="89">
        <f t="shared" si="0"/>
        <v>18</v>
      </c>
      <c r="AW61" s="23" t="s">
        <v>442</v>
      </c>
      <c r="AX61" s="82">
        <v>18</v>
      </c>
      <c r="AZ61" s="20">
        <v>15.3</v>
      </c>
      <c r="BA61" s="25">
        <v>43261</v>
      </c>
      <c r="BB61" s="23" t="s">
        <v>328</v>
      </c>
      <c r="BC61" s="25" t="s">
        <v>190</v>
      </c>
      <c r="BE61" s="62" t="s">
        <v>442</v>
      </c>
      <c r="BF61" s="62">
        <v>4.5</v>
      </c>
      <c r="BG61" s="62">
        <v>4.5</v>
      </c>
      <c r="BH61" s="62">
        <v>4.5</v>
      </c>
      <c r="BI61" s="62">
        <v>4.5</v>
      </c>
      <c r="BJ61" s="62">
        <v>18</v>
      </c>
      <c r="BK61" s="90">
        <f t="shared" si="1"/>
        <v>18</v>
      </c>
      <c r="BL61" s="83">
        <v>18</v>
      </c>
      <c r="BM61" s="52" t="s">
        <v>591</v>
      </c>
      <c r="BO61" s="99">
        <v>10</v>
      </c>
      <c r="BP61" s="99">
        <v>0</v>
      </c>
      <c r="CD61" s="51" t="s">
        <v>543</v>
      </c>
      <c r="CE61" s="47" t="s">
        <v>442</v>
      </c>
      <c r="CF61" s="70">
        <v>0.76700000000000002</v>
      </c>
      <c r="CK61" s="52" t="s">
        <v>591</v>
      </c>
    </row>
    <row r="62" spans="1:89" ht="17" customHeight="1">
      <c r="A62" s="23">
        <v>62</v>
      </c>
      <c r="B62" s="23" t="s">
        <v>204</v>
      </c>
      <c r="C62" s="20">
        <v>15.3</v>
      </c>
      <c r="D62" s="27">
        <v>7</v>
      </c>
      <c r="E62" s="22" t="s">
        <v>424</v>
      </c>
      <c r="F62" s="20">
        <v>15.3</v>
      </c>
      <c r="G62" s="27">
        <v>43262</v>
      </c>
      <c r="H62" s="20">
        <v>15.3</v>
      </c>
      <c r="I62" s="23" t="s">
        <v>330</v>
      </c>
      <c r="J62" s="116">
        <v>0.86699999999999999</v>
      </c>
      <c r="K62" s="114">
        <v>0.83330000000000004</v>
      </c>
      <c r="L62" s="114"/>
      <c r="M62" s="114"/>
      <c r="N62" s="114"/>
      <c r="O62" s="114"/>
      <c r="P62" s="114"/>
      <c r="Q62" s="114"/>
      <c r="R62" s="81">
        <v>18</v>
      </c>
      <c r="S62" s="81">
        <v>19</v>
      </c>
      <c r="T62" s="82">
        <v>19.5</v>
      </c>
      <c r="U62" s="83">
        <v>19.5</v>
      </c>
      <c r="V62" s="23" t="s">
        <v>331</v>
      </c>
      <c r="W62" s="25" t="s">
        <v>192</v>
      </c>
      <c r="X62" s="23" t="s">
        <v>391</v>
      </c>
      <c r="Y62" s="23" t="s">
        <v>441</v>
      </c>
      <c r="Z62" s="23">
        <v>-4</v>
      </c>
      <c r="AA62" s="47">
        <v>26</v>
      </c>
      <c r="AB62" s="70">
        <v>0.86699999999999999</v>
      </c>
      <c r="AC62" s="47" t="s">
        <v>441</v>
      </c>
      <c r="AD62" s="71">
        <v>17</v>
      </c>
      <c r="AE62" s="71">
        <v>8</v>
      </c>
      <c r="AF62" s="69"/>
      <c r="AG62" s="72"/>
      <c r="AH62" s="52">
        <v>17</v>
      </c>
      <c r="AI62" s="52">
        <v>8</v>
      </c>
      <c r="AJ62" s="52">
        <v>25</v>
      </c>
      <c r="AK62" s="88">
        <v>0.83330000000000004</v>
      </c>
      <c r="AL62" s="70">
        <v>0.86699999999999999</v>
      </c>
      <c r="AM62" s="88">
        <v>0.83330000000000004</v>
      </c>
      <c r="AN62" s="52">
        <v>18</v>
      </c>
      <c r="AO62" s="52">
        <v>19</v>
      </c>
      <c r="AP62" s="52" t="s">
        <v>441</v>
      </c>
      <c r="AQ62" s="52">
        <v>4.5</v>
      </c>
      <c r="AR62" s="52">
        <v>5</v>
      </c>
      <c r="AS62" s="52">
        <v>5</v>
      </c>
      <c r="AT62" s="52">
        <v>5</v>
      </c>
      <c r="AU62" s="52">
        <v>19.5</v>
      </c>
      <c r="AV62" s="89">
        <f t="shared" si="0"/>
        <v>19.5</v>
      </c>
      <c r="AW62" s="23" t="s">
        <v>441</v>
      </c>
      <c r="AX62" s="82">
        <v>19.5</v>
      </c>
      <c r="AZ62" s="20">
        <v>15.3</v>
      </c>
      <c r="BA62" s="27">
        <v>43262</v>
      </c>
      <c r="BB62" s="23" t="s">
        <v>330</v>
      </c>
      <c r="BC62" s="25" t="s">
        <v>192</v>
      </c>
      <c r="BE62" s="62" t="s">
        <v>441</v>
      </c>
      <c r="BF62" s="62">
        <v>5</v>
      </c>
      <c r="BG62" s="62">
        <v>5</v>
      </c>
      <c r="BH62" s="62">
        <v>5</v>
      </c>
      <c r="BI62" s="62">
        <v>4.5</v>
      </c>
      <c r="BJ62" s="62">
        <v>19.5</v>
      </c>
      <c r="BK62" s="90">
        <f t="shared" si="1"/>
        <v>19.5</v>
      </c>
      <c r="BL62" s="83">
        <v>19.5</v>
      </c>
      <c r="BM62" s="52" t="s">
        <v>592</v>
      </c>
      <c r="BO62" s="99">
        <v>14</v>
      </c>
      <c r="BP62" s="99">
        <v>0</v>
      </c>
      <c r="CD62" s="51" t="s">
        <v>544</v>
      </c>
      <c r="CE62" s="47" t="s">
        <v>441</v>
      </c>
      <c r="CF62" s="70">
        <v>0.86699999999999999</v>
      </c>
      <c r="CG62" s="70">
        <v>0.83330000000000004</v>
      </c>
      <c r="CH62" s="47" t="s">
        <v>572</v>
      </c>
      <c r="CK62" s="52" t="s">
        <v>624</v>
      </c>
    </row>
    <row r="63" spans="1:89" ht="17" customHeight="1">
      <c r="A63" s="23">
        <v>63</v>
      </c>
      <c r="B63" s="23" t="s">
        <v>204</v>
      </c>
      <c r="C63" s="20">
        <v>15.3</v>
      </c>
      <c r="D63" s="27">
        <v>8</v>
      </c>
      <c r="E63" s="22" t="s">
        <v>425</v>
      </c>
      <c r="F63" s="20">
        <v>15.3</v>
      </c>
      <c r="G63" s="27">
        <v>43265</v>
      </c>
      <c r="H63" s="20">
        <v>15.3</v>
      </c>
      <c r="I63" s="23" t="s">
        <v>332</v>
      </c>
      <c r="J63" s="116">
        <v>0.73299999999999998</v>
      </c>
      <c r="K63" s="114">
        <v>0.9</v>
      </c>
      <c r="L63" s="114"/>
      <c r="M63" s="114"/>
      <c r="N63" s="114"/>
      <c r="O63" s="114"/>
      <c r="P63" s="114"/>
      <c r="Q63" s="114"/>
      <c r="R63" s="81">
        <v>17</v>
      </c>
      <c r="S63" s="81">
        <v>17</v>
      </c>
      <c r="T63" s="82">
        <v>19.5</v>
      </c>
      <c r="U63" s="83">
        <v>19.5</v>
      </c>
      <c r="V63" s="23" t="s">
        <v>333</v>
      </c>
      <c r="W63" s="25" t="s">
        <v>194</v>
      </c>
      <c r="X63" s="23" t="s">
        <v>386</v>
      </c>
      <c r="Y63" s="23" t="s">
        <v>439</v>
      </c>
      <c r="Z63" s="23">
        <v>-8</v>
      </c>
      <c r="AA63" s="47">
        <v>22</v>
      </c>
      <c r="AB63" s="70">
        <v>0.73299999999999998</v>
      </c>
      <c r="AC63" s="47" t="s">
        <v>439</v>
      </c>
      <c r="AD63" s="71">
        <v>19</v>
      </c>
      <c r="AE63" s="71">
        <v>8</v>
      </c>
      <c r="AF63" s="69"/>
      <c r="AG63" s="72"/>
      <c r="AH63" s="52">
        <v>19</v>
      </c>
      <c r="AI63" s="52">
        <v>8</v>
      </c>
      <c r="AJ63" s="52">
        <v>27</v>
      </c>
      <c r="AK63" s="91">
        <v>0.9</v>
      </c>
      <c r="AL63" s="70">
        <v>0.73299999999999998</v>
      </c>
      <c r="AM63" s="91">
        <v>0.9</v>
      </c>
      <c r="AN63" s="52">
        <v>17</v>
      </c>
      <c r="AO63" s="52">
        <v>17</v>
      </c>
      <c r="AP63" s="52" t="s">
        <v>439</v>
      </c>
      <c r="AQ63" s="52">
        <v>4.5</v>
      </c>
      <c r="AR63" s="52">
        <v>5</v>
      </c>
      <c r="AS63" s="52">
        <v>5</v>
      </c>
      <c r="AT63" s="52">
        <v>5</v>
      </c>
      <c r="AU63" s="52">
        <v>19.5</v>
      </c>
      <c r="AV63" s="89">
        <f t="shared" si="0"/>
        <v>19.5</v>
      </c>
      <c r="AW63" s="23" t="s">
        <v>439</v>
      </c>
      <c r="AX63" s="82">
        <v>19.5</v>
      </c>
      <c r="AZ63" s="20">
        <v>15.3</v>
      </c>
      <c r="BA63" s="27">
        <v>43265</v>
      </c>
      <c r="BB63" s="23" t="s">
        <v>332</v>
      </c>
      <c r="BC63" s="25" t="s">
        <v>194</v>
      </c>
      <c r="BE63" s="62" t="s">
        <v>439</v>
      </c>
      <c r="BF63" s="62">
        <v>5</v>
      </c>
      <c r="BG63" s="62">
        <v>5</v>
      </c>
      <c r="BH63" s="62">
        <v>5</v>
      </c>
      <c r="BI63" s="62">
        <v>4.5</v>
      </c>
      <c r="BJ63" s="62">
        <v>19.5</v>
      </c>
      <c r="BK63" s="90">
        <f t="shared" si="1"/>
        <v>19.5</v>
      </c>
      <c r="BL63" s="83">
        <v>19.5</v>
      </c>
      <c r="BM63" s="52" t="s">
        <v>591</v>
      </c>
      <c r="BO63" s="99">
        <v>21</v>
      </c>
      <c r="BP63" s="99">
        <v>0</v>
      </c>
      <c r="CD63" s="51" t="s">
        <v>545</v>
      </c>
      <c r="CE63" s="47" t="s">
        <v>439</v>
      </c>
      <c r="CF63" s="70">
        <v>0.73299999999999998</v>
      </c>
      <c r="CG63" s="70">
        <v>0.9</v>
      </c>
      <c r="CH63" s="47" t="s">
        <v>584</v>
      </c>
      <c r="CK63" s="52" t="s">
        <v>591</v>
      </c>
    </row>
    <row r="64" spans="1:89" ht="17" customHeight="1">
      <c r="A64" s="23">
        <v>64</v>
      </c>
      <c r="B64" s="23" t="s">
        <v>204</v>
      </c>
      <c r="C64" s="20">
        <v>15.3</v>
      </c>
      <c r="D64" s="27">
        <v>9</v>
      </c>
      <c r="E64" s="22" t="s">
        <v>426</v>
      </c>
      <c r="F64" s="20">
        <v>15.3</v>
      </c>
      <c r="G64" s="27">
        <v>46953</v>
      </c>
      <c r="H64" s="20">
        <v>15.3</v>
      </c>
      <c r="I64" s="23" t="s">
        <v>349</v>
      </c>
      <c r="J64" s="116">
        <v>0.93300000000000005</v>
      </c>
      <c r="K64" s="114">
        <v>1</v>
      </c>
      <c r="L64" s="114"/>
      <c r="M64" s="114"/>
      <c r="N64" s="114"/>
      <c r="O64" s="114"/>
      <c r="P64" s="114"/>
      <c r="Q64" s="114"/>
      <c r="R64" s="81">
        <v>20</v>
      </c>
      <c r="S64" s="81">
        <v>17</v>
      </c>
      <c r="T64" s="82">
        <v>19.5</v>
      </c>
      <c r="U64" s="83">
        <v>19.5</v>
      </c>
      <c r="V64" s="23" t="s">
        <v>350</v>
      </c>
      <c r="W64" s="19" t="s">
        <v>382</v>
      </c>
      <c r="X64" s="23" t="s">
        <v>349</v>
      </c>
      <c r="Y64" s="23" t="s">
        <v>451</v>
      </c>
      <c r="Z64" s="23">
        <v>-2</v>
      </c>
      <c r="AA64" s="47">
        <v>28</v>
      </c>
      <c r="AB64" s="70">
        <v>0.93300000000000005</v>
      </c>
      <c r="AC64" s="47" t="s">
        <v>451</v>
      </c>
      <c r="AD64" s="71">
        <v>20</v>
      </c>
      <c r="AE64" s="71">
        <v>10</v>
      </c>
      <c r="AF64" s="69"/>
      <c r="AG64" s="72"/>
      <c r="AH64" s="52">
        <v>20</v>
      </c>
      <c r="AI64" s="52">
        <v>10</v>
      </c>
      <c r="AJ64" s="52">
        <v>30</v>
      </c>
      <c r="AK64" s="91">
        <v>1</v>
      </c>
      <c r="AL64" s="70">
        <v>0.93300000000000005</v>
      </c>
      <c r="AM64" s="91">
        <v>1</v>
      </c>
      <c r="AN64" s="52">
        <v>20</v>
      </c>
      <c r="AO64" s="52">
        <v>17</v>
      </c>
      <c r="AP64" s="52" t="s">
        <v>451</v>
      </c>
      <c r="AQ64" s="52">
        <v>4.5</v>
      </c>
      <c r="AR64" s="52">
        <v>5</v>
      </c>
      <c r="AS64" s="52">
        <v>5</v>
      </c>
      <c r="AT64" s="52">
        <v>5</v>
      </c>
      <c r="AU64" s="52">
        <v>19.5</v>
      </c>
      <c r="AV64" s="89">
        <f t="shared" si="0"/>
        <v>19.5</v>
      </c>
      <c r="AW64" s="23" t="s">
        <v>451</v>
      </c>
      <c r="AX64" s="82">
        <v>19.5</v>
      </c>
      <c r="AZ64" s="20">
        <v>15.3</v>
      </c>
      <c r="BA64" s="27">
        <v>46953</v>
      </c>
      <c r="BB64" s="23" t="s">
        <v>349</v>
      </c>
      <c r="BC64" s="19" t="s">
        <v>382</v>
      </c>
      <c r="BE64" s="62" t="s">
        <v>451</v>
      </c>
      <c r="BF64" s="62">
        <v>5</v>
      </c>
      <c r="BG64" s="62">
        <v>5</v>
      </c>
      <c r="BH64" s="62">
        <v>5</v>
      </c>
      <c r="BI64" s="62">
        <v>4.5</v>
      </c>
      <c r="BJ64" s="62">
        <v>19.5</v>
      </c>
      <c r="BK64" s="90">
        <f t="shared" si="1"/>
        <v>19.5</v>
      </c>
      <c r="BL64" s="83">
        <v>19.5</v>
      </c>
      <c r="BM64" s="52" t="s">
        <v>591</v>
      </c>
      <c r="BO64" s="99">
        <v>24</v>
      </c>
      <c r="BP64" s="99">
        <v>0</v>
      </c>
      <c r="CD64" s="51" t="s">
        <v>546</v>
      </c>
      <c r="CE64" s="47" t="s">
        <v>451</v>
      </c>
      <c r="CF64" s="70">
        <v>0.93300000000000005</v>
      </c>
      <c r="CG64" s="70">
        <v>1</v>
      </c>
      <c r="CH64" s="47" t="s">
        <v>578</v>
      </c>
      <c r="CK64" s="52" t="s">
        <v>591</v>
      </c>
    </row>
    <row r="65" spans="1:89" ht="17" customHeight="1">
      <c r="A65" s="23">
        <v>65</v>
      </c>
      <c r="B65" s="23" t="s">
        <v>204</v>
      </c>
      <c r="C65" s="20">
        <v>15.3</v>
      </c>
      <c r="D65" s="27">
        <v>10</v>
      </c>
      <c r="E65" s="22" t="s">
        <v>427</v>
      </c>
      <c r="F65" s="20">
        <v>15.3</v>
      </c>
      <c r="G65" s="27">
        <v>46958</v>
      </c>
      <c r="H65" s="20">
        <v>15.3</v>
      </c>
      <c r="I65" s="23" t="s">
        <v>351</v>
      </c>
      <c r="J65" s="116">
        <v>0.86699999999999999</v>
      </c>
      <c r="K65" s="114">
        <v>0.93330000000000002</v>
      </c>
      <c r="L65" s="114"/>
      <c r="M65" s="114"/>
      <c r="N65" s="114"/>
      <c r="O65" s="114"/>
      <c r="P65" s="114"/>
      <c r="Q65" s="114"/>
      <c r="R65" s="81">
        <v>16</v>
      </c>
      <c r="S65" s="81">
        <v>20</v>
      </c>
      <c r="T65" s="82">
        <v>19.5</v>
      </c>
      <c r="U65" s="83">
        <v>19.5</v>
      </c>
      <c r="V65" s="23" t="s">
        <v>352</v>
      </c>
      <c r="W65" s="19" t="s">
        <v>381</v>
      </c>
      <c r="X65" s="23" t="s">
        <v>388</v>
      </c>
      <c r="Y65" s="23" t="s">
        <v>443</v>
      </c>
      <c r="Z65" s="23">
        <v>-4</v>
      </c>
      <c r="AA65" s="47">
        <v>26</v>
      </c>
      <c r="AB65" s="70">
        <v>0.86699999999999999</v>
      </c>
      <c r="AC65" s="47" t="s">
        <v>443</v>
      </c>
      <c r="AD65" s="71">
        <v>20</v>
      </c>
      <c r="AE65" s="71">
        <v>8</v>
      </c>
      <c r="AF65" s="69"/>
      <c r="AG65" s="72"/>
      <c r="AH65" s="52">
        <v>20</v>
      </c>
      <c r="AI65" s="52">
        <v>8</v>
      </c>
      <c r="AJ65" s="52">
        <v>28</v>
      </c>
      <c r="AK65" s="91">
        <v>0.93330000000000002</v>
      </c>
      <c r="AL65" s="70">
        <v>0.86699999999999999</v>
      </c>
      <c r="AM65" s="91">
        <v>0.93330000000000002</v>
      </c>
      <c r="AN65" s="52">
        <v>16</v>
      </c>
      <c r="AO65" s="52">
        <v>20</v>
      </c>
      <c r="AP65" s="52" t="s">
        <v>443</v>
      </c>
      <c r="AQ65" s="52">
        <v>4.5</v>
      </c>
      <c r="AR65" s="52">
        <v>5</v>
      </c>
      <c r="AS65" s="52">
        <v>5</v>
      </c>
      <c r="AT65" s="52">
        <v>5</v>
      </c>
      <c r="AU65" s="52">
        <v>19.5</v>
      </c>
      <c r="AV65" s="89">
        <f t="shared" si="0"/>
        <v>19.5</v>
      </c>
      <c r="AW65" s="23" t="s">
        <v>443</v>
      </c>
      <c r="AX65" s="82">
        <v>19.5</v>
      </c>
      <c r="AZ65" s="20">
        <v>15.3</v>
      </c>
      <c r="BA65" s="27">
        <v>46958</v>
      </c>
      <c r="BB65" s="23" t="s">
        <v>351</v>
      </c>
      <c r="BC65" s="19" t="s">
        <v>381</v>
      </c>
      <c r="BE65" s="62" t="s">
        <v>443</v>
      </c>
      <c r="BF65" s="62">
        <v>5</v>
      </c>
      <c r="BG65" s="62">
        <v>5</v>
      </c>
      <c r="BH65" s="62">
        <v>5</v>
      </c>
      <c r="BI65" s="62">
        <v>4.5</v>
      </c>
      <c r="BJ65" s="62">
        <v>19.5</v>
      </c>
      <c r="BK65" s="90">
        <f t="shared" si="1"/>
        <v>19.5</v>
      </c>
      <c r="BL65" s="83">
        <v>19.5</v>
      </c>
      <c r="BM65" s="52" t="s">
        <v>591</v>
      </c>
      <c r="BO65" s="99">
        <v>21</v>
      </c>
      <c r="BP65" s="99">
        <v>0</v>
      </c>
      <c r="CD65" s="51" t="s">
        <v>547</v>
      </c>
      <c r="CE65" s="47" t="s">
        <v>443</v>
      </c>
      <c r="CF65" s="70">
        <v>0.86699999999999999</v>
      </c>
      <c r="CG65" s="70">
        <v>0.93330000000000002</v>
      </c>
      <c r="CH65" s="47" t="s">
        <v>579</v>
      </c>
      <c r="CK65" s="52" t="s">
        <v>591</v>
      </c>
    </row>
    <row r="66" spans="1:89" ht="17" customHeight="1">
      <c r="A66" s="23">
        <v>66</v>
      </c>
      <c r="B66" s="23" t="s">
        <v>205</v>
      </c>
      <c r="C66" s="20">
        <v>15.3</v>
      </c>
      <c r="D66" s="27">
        <v>11</v>
      </c>
      <c r="E66" s="22" t="s">
        <v>428</v>
      </c>
      <c r="F66" s="20">
        <v>15.3</v>
      </c>
      <c r="G66" s="27">
        <v>47035</v>
      </c>
      <c r="H66" s="20">
        <v>15.3</v>
      </c>
      <c r="I66" s="23" t="s">
        <v>353</v>
      </c>
      <c r="J66" s="116">
        <v>0.26700000000000002</v>
      </c>
      <c r="K66" s="114">
        <v>0.16669999999999999</v>
      </c>
      <c r="L66" s="114"/>
      <c r="M66" s="114"/>
      <c r="N66" s="114"/>
      <c r="O66" s="114"/>
      <c r="P66" s="114"/>
      <c r="Q66" s="114"/>
      <c r="R66" s="81">
        <v>7</v>
      </c>
      <c r="S66" s="81">
        <v>8</v>
      </c>
      <c r="T66" s="82">
        <v>10</v>
      </c>
      <c r="U66" s="83">
        <v>10</v>
      </c>
      <c r="V66" s="23" t="s">
        <v>354</v>
      </c>
      <c r="W66" s="19" t="s">
        <v>380</v>
      </c>
      <c r="X66" s="20"/>
      <c r="Y66" s="20" t="s">
        <v>452</v>
      </c>
      <c r="Z66" s="23">
        <v>-22</v>
      </c>
      <c r="AA66" s="47">
        <v>8</v>
      </c>
      <c r="AB66" s="70">
        <v>0.26700000000000002</v>
      </c>
      <c r="AC66" s="47" t="s">
        <v>452</v>
      </c>
      <c r="AD66" s="71">
        <v>2</v>
      </c>
      <c r="AE66" s="71">
        <v>3</v>
      </c>
      <c r="AF66" s="69"/>
      <c r="AG66" s="72"/>
      <c r="AH66" s="52">
        <v>2</v>
      </c>
      <c r="AI66" s="52">
        <v>3</v>
      </c>
      <c r="AJ66" s="52">
        <v>5</v>
      </c>
      <c r="AK66" s="88">
        <v>0.16669999999999999</v>
      </c>
      <c r="AL66" s="70">
        <v>0.26700000000000002</v>
      </c>
      <c r="AM66" s="88">
        <v>0.16669999999999999</v>
      </c>
      <c r="AN66" s="52">
        <v>7</v>
      </c>
      <c r="AO66" s="52">
        <v>8</v>
      </c>
      <c r="AP66" s="52" t="s">
        <v>452</v>
      </c>
      <c r="AQ66" s="52">
        <v>2.5</v>
      </c>
      <c r="AR66" s="52">
        <v>2.5</v>
      </c>
      <c r="AS66" s="52">
        <v>2.5</v>
      </c>
      <c r="AT66" s="52">
        <v>2.5</v>
      </c>
      <c r="AU66" s="52">
        <v>10</v>
      </c>
      <c r="AV66" s="89">
        <f t="shared" si="0"/>
        <v>10</v>
      </c>
      <c r="AW66" s="20" t="s">
        <v>452</v>
      </c>
      <c r="AX66" s="82">
        <v>10</v>
      </c>
      <c r="AZ66" s="20">
        <v>15.3</v>
      </c>
      <c r="BA66" s="27">
        <v>47035</v>
      </c>
      <c r="BB66" s="23" t="s">
        <v>353</v>
      </c>
      <c r="BC66" s="19" t="s">
        <v>380</v>
      </c>
      <c r="BE66" s="62" t="s">
        <v>452</v>
      </c>
      <c r="BF66" s="62">
        <v>3</v>
      </c>
      <c r="BG66" s="62">
        <v>2.5</v>
      </c>
      <c r="BH66" s="62">
        <v>2.5</v>
      </c>
      <c r="BI66" s="62">
        <v>2</v>
      </c>
      <c r="BJ66" s="62">
        <v>10</v>
      </c>
      <c r="BK66" s="90">
        <f t="shared" si="1"/>
        <v>10</v>
      </c>
      <c r="BL66" s="83">
        <v>10</v>
      </c>
      <c r="BM66" s="52" t="s">
        <v>593</v>
      </c>
      <c r="BO66" s="99">
        <v>15</v>
      </c>
      <c r="BP66" s="99">
        <v>0</v>
      </c>
      <c r="CD66" s="51" t="s">
        <v>548</v>
      </c>
      <c r="CE66" s="47" t="s">
        <v>452</v>
      </c>
      <c r="CF66" s="70">
        <v>0.26700000000000002</v>
      </c>
      <c r="CG66" s="70">
        <v>0.16669999999999999</v>
      </c>
      <c r="CH66" s="47" t="s">
        <v>587</v>
      </c>
      <c r="CK66" s="52" t="s">
        <v>625</v>
      </c>
    </row>
    <row r="67" spans="1:89" ht="17" customHeight="1">
      <c r="A67" s="23">
        <v>67</v>
      </c>
      <c r="B67" s="23" t="s">
        <v>205</v>
      </c>
      <c r="C67" s="20">
        <v>15.3</v>
      </c>
      <c r="D67" s="27">
        <v>12</v>
      </c>
      <c r="E67" s="22" t="s">
        <v>429</v>
      </c>
      <c r="F67" s="20">
        <v>15.3</v>
      </c>
      <c r="G67" s="27">
        <v>47064</v>
      </c>
      <c r="H67" s="20">
        <v>15.3</v>
      </c>
      <c r="I67" s="23" t="s">
        <v>355</v>
      </c>
      <c r="J67" s="116">
        <v>0.5</v>
      </c>
      <c r="K67" s="119" t="s">
        <v>478</v>
      </c>
      <c r="L67" s="114"/>
      <c r="M67" s="114"/>
      <c r="N67" s="114"/>
      <c r="O67" s="114"/>
      <c r="P67" s="114"/>
      <c r="Q67" s="114"/>
      <c r="R67" s="81">
        <v>10</v>
      </c>
      <c r="S67" s="81">
        <v>19</v>
      </c>
      <c r="T67" s="82">
        <v>18.5</v>
      </c>
      <c r="U67" s="83">
        <v>18.5</v>
      </c>
      <c r="V67" s="23" t="s">
        <v>356</v>
      </c>
      <c r="W67" s="19" t="s">
        <v>379</v>
      </c>
      <c r="X67" s="23" t="s">
        <v>393</v>
      </c>
      <c r="Y67" s="23" t="s">
        <v>453</v>
      </c>
      <c r="Z67" s="23">
        <v>-15</v>
      </c>
      <c r="AA67" s="47">
        <v>15</v>
      </c>
      <c r="AB67" s="70">
        <v>0.5</v>
      </c>
      <c r="AC67" s="47" t="s">
        <v>453</v>
      </c>
      <c r="AF67" s="69"/>
      <c r="AG67" s="72"/>
      <c r="AK67" s="96"/>
      <c r="AL67" s="70">
        <v>0.5</v>
      </c>
      <c r="AM67" s="96"/>
      <c r="AN67" s="52">
        <v>10</v>
      </c>
      <c r="AO67" s="52">
        <v>19</v>
      </c>
      <c r="AP67" s="52" t="s">
        <v>453</v>
      </c>
      <c r="AQ67" s="52">
        <v>4</v>
      </c>
      <c r="AR67" s="52">
        <v>4.75</v>
      </c>
      <c r="AS67" s="52">
        <v>4.75</v>
      </c>
      <c r="AT67" s="52">
        <v>5</v>
      </c>
      <c r="AU67" s="52">
        <v>18.5</v>
      </c>
      <c r="AV67" s="89">
        <f t="shared" ref="AV67:AV92" si="2">SUM(AQ67:AT67)</f>
        <v>18.5</v>
      </c>
      <c r="AW67" s="23" t="s">
        <v>453</v>
      </c>
      <c r="AX67" s="82">
        <v>18.5</v>
      </c>
      <c r="AZ67" s="20">
        <v>15.3</v>
      </c>
      <c r="BA67" s="27">
        <v>47064</v>
      </c>
      <c r="BB67" s="23" t="s">
        <v>355</v>
      </c>
      <c r="BC67" s="19" t="s">
        <v>379</v>
      </c>
      <c r="BE67" s="62" t="s">
        <v>453</v>
      </c>
      <c r="BF67" s="62">
        <v>5</v>
      </c>
      <c r="BG67" s="62">
        <v>4.5</v>
      </c>
      <c r="BH67" s="62">
        <v>4.5</v>
      </c>
      <c r="BI67" s="62">
        <v>4.5</v>
      </c>
      <c r="BJ67" s="62">
        <v>18.5</v>
      </c>
      <c r="BK67" s="90">
        <f t="shared" ref="BK67:BK92" si="3">SUM(BF67:BI67)</f>
        <v>18.5</v>
      </c>
      <c r="BL67" s="83">
        <v>18.5</v>
      </c>
      <c r="BM67" s="52" t="s">
        <v>591</v>
      </c>
      <c r="BO67" s="99">
        <v>3</v>
      </c>
      <c r="BP67" s="99">
        <v>0</v>
      </c>
      <c r="CD67" s="51" t="s">
        <v>549</v>
      </c>
      <c r="CE67" s="47" t="s">
        <v>453</v>
      </c>
      <c r="CF67" s="70">
        <v>0.5</v>
      </c>
      <c r="CK67" s="52" t="s">
        <v>591</v>
      </c>
    </row>
    <row r="68" spans="1:89" ht="17" customHeight="1">
      <c r="A68" s="23">
        <v>68</v>
      </c>
      <c r="B68" s="23" t="s">
        <v>205</v>
      </c>
      <c r="C68" s="20">
        <v>15.3</v>
      </c>
      <c r="D68" s="27">
        <v>13</v>
      </c>
      <c r="E68" s="22" t="s">
        <v>430</v>
      </c>
      <c r="F68" s="20">
        <v>15.3</v>
      </c>
      <c r="G68" s="28">
        <v>47074</v>
      </c>
      <c r="H68" s="20">
        <v>15.3</v>
      </c>
      <c r="I68" s="23" t="s">
        <v>357</v>
      </c>
      <c r="J68" s="116">
        <v>0.6</v>
      </c>
      <c r="K68" s="114">
        <v>0.6</v>
      </c>
      <c r="L68" s="114"/>
      <c r="M68" s="114"/>
      <c r="N68" s="114"/>
      <c r="O68" s="114"/>
      <c r="P68" s="114"/>
      <c r="Q68" s="114"/>
      <c r="R68" s="81">
        <v>16</v>
      </c>
      <c r="S68" s="81">
        <v>16</v>
      </c>
      <c r="T68" s="82">
        <v>18.5</v>
      </c>
      <c r="U68" s="83">
        <v>18.5</v>
      </c>
      <c r="V68" s="23" t="s">
        <v>358</v>
      </c>
      <c r="W68" s="19" t="s">
        <v>378</v>
      </c>
      <c r="X68" s="23" t="s">
        <v>387</v>
      </c>
      <c r="Y68" s="23" t="s">
        <v>440</v>
      </c>
      <c r="Z68" s="23">
        <v>-12</v>
      </c>
      <c r="AA68" s="47">
        <v>18</v>
      </c>
      <c r="AB68" s="70">
        <v>0.6</v>
      </c>
      <c r="AC68" s="47" t="s">
        <v>440</v>
      </c>
      <c r="AD68" s="71">
        <v>9</v>
      </c>
      <c r="AE68" s="71">
        <v>9</v>
      </c>
      <c r="AF68" s="69"/>
      <c r="AG68" s="72"/>
      <c r="AH68" s="52">
        <v>9</v>
      </c>
      <c r="AI68" s="52">
        <v>9</v>
      </c>
      <c r="AJ68" s="52">
        <v>18</v>
      </c>
      <c r="AK68" s="91">
        <v>0.6</v>
      </c>
      <c r="AL68" s="70">
        <v>0.6</v>
      </c>
      <c r="AM68" s="91">
        <v>0.6</v>
      </c>
      <c r="AN68" s="52">
        <v>16</v>
      </c>
      <c r="AO68" s="52">
        <v>16</v>
      </c>
      <c r="AP68" s="52" t="s">
        <v>440</v>
      </c>
      <c r="AQ68" s="52">
        <v>4</v>
      </c>
      <c r="AR68" s="52">
        <v>4.75</v>
      </c>
      <c r="AS68" s="52">
        <v>4.75</v>
      </c>
      <c r="AT68" s="52">
        <v>5</v>
      </c>
      <c r="AU68" s="52">
        <v>18.5</v>
      </c>
      <c r="AV68" s="89">
        <f t="shared" si="2"/>
        <v>18.5</v>
      </c>
      <c r="AW68" s="23" t="s">
        <v>440</v>
      </c>
      <c r="AX68" s="82">
        <v>18.5</v>
      </c>
      <c r="AZ68" s="20">
        <v>15.3</v>
      </c>
      <c r="BA68" s="28">
        <v>47074</v>
      </c>
      <c r="BB68" s="23" t="s">
        <v>357</v>
      </c>
      <c r="BC68" s="19" t="s">
        <v>378</v>
      </c>
      <c r="BE68" s="62" t="s">
        <v>440</v>
      </c>
      <c r="BF68" s="62">
        <v>5</v>
      </c>
      <c r="BG68" s="62">
        <v>4.5</v>
      </c>
      <c r="BH68" s="62">
        <v>4.5</v>
      </c>
      <c r="BI68" s="62">
        <v>4.5</v>
      </c>
      <c r="BJ68" s="62">
        <v>18.5</v>
      </c>
      <c r="BK68" s="90">
        <f t="shared" si="3"/>
        <v>18.5</v>
      </c>
      <c r="BL68" s="83">
        <v>18.5</v>
      </c>
      <c r="BM68" s="52" t="s">
        <v>593</v>
      </c>
      <c r="BO68" s="99">
        <v>20</v>
      </c>
      <c r="BP68" s="99">
        <v>0</v>
      </c>
      <c r="CD68" s="51" t="s">
        <v>550</v>
      </c>
      <c r="CE68" s="47" t="s">
        <v>440</v>
      </c>
      <c r="CF68" s="70">
        <v>0.6</v>
      </c>
      <c r="CG68" s="70">
        <v>0.6</v>
      </c>
      <c r="CH68" s="47" t="s">
        <v>588</v>
      </c>
      <c r="CK68" s="52" t="s">
        <v>625</v>
      </c>
    </row>
    <row r="69" spans="1:89" s="57" customFormat="1" ht="17" customHeight="1">
      <c r="A69" s="54">
        <v>69</v>
      </c>
      <c r="B69" s="54"/>
      <c r="C69" s="54"/>
      <c r="D69" s="58"/>
      <c r="E69" s="55" t="s">
        <v>413</v>
      </c>
      <c r="F69" s="54">
        <v>0</v>
      </c>
      <c r="G69" s="55">
        <v>55555</v>
      </c>
      <c r="H69" s="54">
        <v>0</v>
      </c>
      <c r="I69" s="54" t="s">
        <v>412</v>
      </c>
      <c r="J69" s="117"/>
      <c r="K69" s="113"/>
      <c r="L69" s="113"/>
      <c r="M69" s="113"/>
      <c r="N69" s="113"/>
      <c r="O69" s="113"/>
      <c r="P69" s="113"/>
      <c r="Q69" s="113"/>
      <c r="R69" s="81"/>
      <c r="S69" s="81"/>
      <c r="V69" s="54" t="s">
        <v>416</v>
      </c>
      <c r="W69" s="55"/>
      <c r="X69" s="54"/>
      <c r="Y69" s="54" t="s">
        <v>454</v>
      </c>
      <c r="Z69" s="54"/>
      <c r="AA69" s="73"/>
      <c r="AB69" s="73"/>
      <c r="AC69" s="73" t="s">
        <v>454</v>
      </c>
      <c r="AD69" s="73"/>
      <c r="AE69" s="73"/>
      <c r="AF69" s="54"/>
      <c r="AG69" s="73"/>
      <c r="AL69" s="73"/>
      <c r="AP69" s="57" t="s">
        <v>454</v>
      </c>
      <c r="AV69" s="93">
        <f t="shared" si="2"/>
        <v>0</v>
      </c>
      <c r="AW69" s="54" t="s">
        <v>454</v>
      </c>
      <c r="AZ69" s="54">
        <v>0</v>
      </c>
      <c r="BA69" s="55">
        <v>55555</v>
      </c>
      <c r="BB69" s="54" t="s">
        <v>412</v>
      </c>
      <c r="BC69" s="55"/>
      <c r="BE69" s="94" t="s">
        <v>454</v>
      </c>
      <c r="BK69" s="93">
        <f t="shared" si="3"/>
        <v>0</v>
      </c>
      <c r="BM69" s="57" t="s">
        <v>591</v>
      </c>
      <c r="BO69" s="99"/>
      <c r="BP69" s="99">
        <v>0</v>
      </c>
      <c r="CD69" s="56" t="s">
        <v>506</v>
      </c>
      <c r="CE69" s="73" t="s">
        <v>454</v>
      </c>
      <c r="CK69" s="57" t="s">
        <v>591</v>
      </c>
    </row>
    <row r="70" spans="1:89" ht="17" customHeight="1">
      <c r="A70" s="23">
        <v>70</v>
      </c>
      <c r="B70" s="23" t="s">
        <v>205</v>
      </c>
      <c r="C70" s="20">
        <v>15.3</v>
      </c>
      <c r="D70" s="27">
        <v>14</v>
      </c>
      <c r="E70" s="23" t="s">
        <v>414</v>
      </c>
      <c r="F70" s="20">
        <v>15.3</v>
      </c>
      <c r="G70" s="28">
        <v>47086</v>
      </c>
      <c r="H70" s="20">
        <v>15.3</v>
      </c>
      <c r="I70" s="20" t="s">
        <v>395</v>
      </c>
      <c r="J70" s="116">
        <v>0.13300000000000001</v>
      </c>
      <c r="K70" s="114">
        <v>0.16669999999999999</v>
      </c>
      <c r="L70" s="114"/>
      <c r="M70" s="114"/>
      <c r="N70" s="114"/>
      <c r="O70" s="114"/>
      <c r="P70" s="114"/>
      <c r="Q70" s="114"/>
      <c r="R70" s="81">
        <v>7</v>
      </c>
      <c r="S70" s="81">
        <v>9</v>
      </c>
      <c r="T70" s="82">
        <v>19.5</v>
      </c>
      <c r="U70" s="83">
        <v>19.5</v>
      </c>
      <c r="V70" s="20" t="s">
        <v>383</v>
      </c>
      <c r="W70" s="19" t="s">
        <v>377</v>
      </c>
      <c r="X70" s="23" t="s">
        <v>394</v>
      </c>
      <c r="Y70" s="23" t="s">
        <v>445</v>
      </c>
      <c r="Z70" s="23">
        <v>-26</v>
      </c>
      <c r="AA70" s="47">
        <v>4</v>
      </c>
      <c r="AB70" s="70">
        <v>0.13300000000000001</v>
      </c>
      <c r="AC70" s="47" t="s">
        <v>445</v>
      </c>
      <c r="AD70" s="71">
        <v>2</v>
      </c>
      <c r="AE70" s="71">
        <v>3</v>
      </c>
      <c r="AF70" s="69"/>
      <c r="AG70" s="72"/>
      <c r="AH70" s="52">
        <v>2</v>
      </c>
      <c r="AI70" s="52">
        <v>3</v>
      </c>
      <c r="AJ70" s="52">
        <v>5</v>
      </c>
      <c r="AK70" s="91">
        <v>0.16669999999999999</v>
      </c>
      <c r="AL70" s="70">
        <v>0.13300000000000001</v>
      </c>
      <c r="AM70" s="91">
        <v>0.16669999999999999</v>
      </c>
      <c r="AN70" s="52">
        <v>7</v>
      </c>
      <c r="AO70" s="52">
        <v>9</v>
      </c>
      <c r="AP70" s="52" t="s">
        <v>445</v>
      </c>
      <c r="AQ70" s="52">
        <v>4.5</v>
      </c>
      <c r="AR70" s="52">
        <v>5</v>
      </c>
      <c r="AS70" s="52">
        <v>5</v>
      </c>
      <c r="AT70" s="52">
        <v>5</v>
      </c>
      <c r="AU70" s="52">
        <v>19.5</v>
      </c>
      <c r="AV70" s="89">
        <f t="shared" si="2"/>
        <v>19.5</v>
      </c>
      <c r="AW70" s="23" t="s">
        <v>445</v>
      </c>
      <c r="AX70" s="82">
        <v>19.5</v>
      </c>
      <c r="AZ70" s="20">
        <v>15.3</v>
      </c>
      <c r="BA70" s="28">
        <v>47086</v>
      </c>
      <c r="BB70" s="20" t="s">
        <v>395</v>
      </c>
      <c r="BC70" s="19" t="s">
        <v>377</v>
      </c>
      <c r="BE70" s="62" t="s">
        <v>445</v>
      </c>
      <c r="BF70" s="62">
        <v>5</v>
      </c>
      <c r="BG70" s="62">
        <v>5</v>
      </c>
      <c r="BH70" s="62">
        <v>5</v>
      </c>
      <c r="BI70" s="62">
        <v>4.5</v>
      </c>
      <c r="BJ70" s="62">
        <v>19.5</v>
      </c>
      <c r="BK70" s="90">
        <f t="shared" si="3"/>
        <v>19.5</v>
      </c>
      <c r="BL70" s="83">
        <v>19.5</v>
      </c>
      <c r="BM70" s="52" t="s">
        <v>593</v>
      </c>
      <c r="BO70" s="99">
        <v>7</v>
      </c>
      <c r="BP70" s="99">
        <v>0</v>
      </c>
      <c r="CD70" s="51" t="s">
        <v>551</v>
      </c>
      <c r="CE70" s="47" t="s">
        <v>445</v>
      </c>
      <c r="CF70" s="70">
        <v>0.13300000000000001</v>
      </c>
      <c r="CG70" s="70">
        <v>0.16669999999999999</v>
      </c>
      <c r="CH70" s="47" t="s">
        <v>581</v>
      </c>
      <c r="CK70" s="52" t="s">
        <v>625</v>
      </c>
    </row>
    <row r="71" spans="1:89" s="92" customFormat="1" ht="17" customHeight="1">
      <c r="A71" s="20">
        <v>72</v>
      </c>
      <c r="B71" s="20" t="s">
        <v>209</v>
      </c>
      <c r="C71" s="20">
        <v>15.3</v>
      </c>
      <c r="D71" s="24">
        <v>16.2</v>
      </c>
      <c r="E71" s="19" t="s">
        <v>418</v>
      </c>
      <c r="F71" s="20">
        <v>16.2</v>
      </c>
      <c r="G71" s="21">
        <v>46948</v>
      </c>
      <c r="H71" s="20">
        <v>16.2</v>
      </c>
      <c r="I71" s="20" t="s">
        <v>474</v>
      </c>
      <c r="J71" s="116">
        <v>0.9</v>
      </c>
      <c r="K71" s="114">
        <v>0.9</v>
      </c>
      <c r="L71" s="114"/>
      <c r="M71" s="114"/>
      <c r="N71" s="114"/>
      <c r="O71" s="114"/>
      <c r="P71" s="114"/>
      <c r="Q71" s="114"/>
      <c r="R71" s="81">
        <v>19</v>
      </c>
      <c r="S71" s="81">
        <v>18</v>
      </c>
      <c r="T71" s="92" t="s">
        <v>615</v>
      </c>
      <c r="U71" s="121" t="s">
        <v>616</v>
      </c>
      <c r="V71" s="20" t="s">
        <v>399</v>
      </c>
      <c r="W71" s="19" t="s">
        <v>397</v>
      </c>
      <c r="X71" s="20" t="s">
        <v>397</v>
      </c>
      <c r="Y71" s="20" t="s">
        <v>444</v>
      </c>
      <c r="Z71" s="20">
        <v>-3</v>
      </c>
      <c r="AA71" s="46">
        <v>27</v>
      </c>
      <c r="AB71" s="77">
        <v>0.9</v>
      </c>
      <c r="AC71" s="46" t="s">
        <v>444</v>
      </c>
      <c r="AD71" s="46">
        <v>20</v>
      </c>
      <c r="AE71" s="46">
        <v>7</v>
      </c>
      <c r="AF71" s="20"/>
      <c r="AG71" s="77"/>
      <c r="AH71" s="92">
        <v>20</v>
      </c>
      <c r="AI71" s="92">
        <v>7</v>
      </c>
      <c r="AJ71" s="92">
        <v>27</v>
      </c>
      <c r="AK71" s="88">
        <v>0.9</v>
      </c>
      <c r="AL71" s="77">
        <v>0.9</v>
      </c>
      <c r="AM71" s="88">
        <v>0.9</v>
      </c>
      <c r="AN71" s="92">
        <v>19</v>
      </c>
      <c r="AO71" s="92">
        <v>18</v>
      </c>
      <c r="AP71" s="92" t="s">
        <v>444</v>
      </c>
      <c r="AV71" s="100">
        <f t="shared" si="2"/>
        <v>0</v>
      </c>
      <c r="AW71" s="20" t="s">
        <v>444</v>
      </c>
      <c r="AX71" s="92" t="s">
        <v>613</v>
      </c>
      <c r="AZ71" s="20">
        <v>16.2</v>
      </c>
      <c r="BA71" s="21">
        <v>46948</v>
      </c>
      <c r="BB71" s="20" t="s">
        <v>474</v>
      </c>
      <c r="BC71" s="19" t="s">
        <v>397</v>
      </c>
      <c r="BE71" s="46" t="s">
        <v>444</v>
      </c>
      <c r="BK71" s="100">
        <f t="shared" si="3"/>
        <v>0</v>
      </c>
      <c r="BL71" s="92" t="s">
        <v>614</v>
      </c>
      <c r="BM71" s="92" t="s">
        <v>591</v>
      </c>
      <c r="BO71" s="99">
        <v>29</v>
      </c>
      <c r="BP71" s="99">
        <v>0</v>
      </c>
      <c r="CD71" s="63" t="s">
        <v>553</v>
      </c>
      <c r="CE71" s="46" t="s">
        <v>444</v>
      </c>
      <c r="CF71" s="77">
        <v>0.9</v>
      </c>
      <c r="CG71" s="77">
        <v>0.9</v>
      </c>
      <c r="CH71" s="46" t="s">
        <v>576</v>
      </c>
      <c r="CK71" s="92" t="s">
        <v>591</v>
      </c>
    </row>
    <row r="72" spans="1:89" s="101" customFormat="1" ht="17" customHeight="1">
      <c r="A72" s="65">
        <v>72</v>
      </c>
      <c r="B72" s="65" t="s">
        <v>209</v>
      </c>
      <c r="C72" s="65">
        <v>15.3</v>
      </c>
      <c r="D72" s="64">
        <v>16.2</v>
      </c>
      <c r="E72" s="65" t="s">
        <v>418</v>
      </c>
      <c r="F72" s="65">
        <v>16.2</v>
      </c>
      <c r="G72" s="66">
        <v>46948</v>
      </c>
      <c r="H72" s="65">
        <v>16.2</v>
      </c>
      <c r="I72" s="65" t="s">
        <v>474</v>
      </c>
      <c r="J72" s="116">
        <v>0.9</v>
      </c>
      <c r="K72" s="119" t="s">
        <v>478</v>
      </c>
      <c r="L72" s="114"/>
      <c r="M72" s="114"/>
      <c r="N72" s="114"/>
      <c r="O72" s="114"/>
      <c r="P72" s="114"/>
      <c r="Q72" s="114"/>
      <c r="R72" s="81">
        <v>19</v>
      </c>
      <c r="S72" s="81">
        <v>18</v>
      </c>
      <c r="T72" s="101" t="s">
        <v>613</v>
      </c>
      <c r="U72" s="101" t="s">
        <v>614</v>
      </c>
      <c r="V72" s="65" t="s">
        <v>399</v>
      </c>
      <c r="W72" s="67" t="s">
        <v>397</v>
      </c>
      <c r="X72" s="65" t="s">
        <v>397</v>
      </c>
      <c r="Y72" s="65" t="s">
        <v>444</v>
      </c>
      <c r="Z72" s="65">
        <v>-3</v>
      </c>
      <c r="AA72" s="78">
        <v>27</v>
      </c>
      <c r="AB72" s="79">
        <v>0.9</v>
      </c>
      <c r="AC72" s="78" t="s">
        <v>444</v>
      </c>
      <c r="AD72" s="78">
        <v>20</v>
      </c>
      <c r="AE72" s="78"/>
      <c r="AF72" s="65"/>
      <c r="AG72" s="79"/>
      <c r="AH72" s="101">
        <v>20</v>
      </c>
      <c r="AK72" s="102"/>
      <c r="AL72" s="79">
        <v>0.9</v>
      </c>
      <c r="AM72" s="102"/>
      <c r="AN72" s="101">
        <v>19</v>
      </c>
      <c r="AO72" s="101">
        <v>18</v>
      </c>
      <c r="AP72" s="101" t="s">
        <v>444</v>
      </c>
      <c r="AV72" s="103">
        <f t="shared" si="2"/>
        <v>0</v>
      </c>
      <c r="AW72" s="65" t="s">
        <v>444</v>
      </c>
      <c r="AX72" s="101" t="s">
        <v>613</v>
      </c>
      <c r="AZ72" s="65">
        <v>16.2</v>
      </c>
      <c r="BA72" s="66">
        <v>46948</v>
      </c>
      <c r="BB72" s="65" t="s">
        <v>474</v>
      </c>
      <c r="BC72" s="67" t="s">
        <v>397</v>
      </c>
      <c r="BE72" s="78" t="s">
        <v>444</v>
      </c>
      <c r="BK72" s="103">
        <f t="shared" si="3"/>
        <v>0</v>
      </c>
      <c r="BL72" s="101" t="s">
        <v>614</v>
      </c>
      <c r="BM72" s="101" t="s">
        <v>591</v>
      </c>
      <c r="BO72" s="99">
        <v>29</v>
      </c>
      <c r="BP72" s="99">
        <v>0</v>
      </c>
      <c r="CD72" s="68" t="s">
        <v>552</v>
      </c>
      <c r="CE72" s="78" t="s">
        <v>444</v>
      </c>
      <c r="CF72" s="79">
        <v>0.9</v>
      </c>
      <c r="CK72" s="101" t="s">
        <v>591</v>
      </c>
    </row>
    <row r="73" spans="1:89" s="57" customFormat="1" ht="17" customHeight="1">
      <c r="A73" s="54"/>
      <c r="B73" s="54"/>
      <c r="C73" s="54"/>
      <c r="D73" s="58"/>
      <c r="E73" s="54"/>
      <c r="F73" s="54"/>
      <c r="G73" s="59"/>
      <c r="H73" s="54"/>
      <c r="I73" s="54"/>
      <c r="J73" s="116"/>
      <c r="K73" s="114"/>
      <c r="L73" s="114"/>
      <c r="M73" s="114"/>
      <c r="N73" s="114"/>
      <c r="O73" s="114"/>
      <c r="P73" s="114"/>
      <c r="Q73" s="114"/>
      <c r="R73" s="81"/>
      <c r="S73" s="81"/>
      <c r="V73" s="54"/>
      <c r="W73" s="55"/>
      <c r="X73" s="54"/>
      <c r="Y73" s="54"/>
      <c r="Z73" s="54"/>
      <c r="AA73" s="73"/>
      <c r="AB73" s="76"/>
      <c r="AC73" s="73"/>
      <c r="AD73" s="73"/>
      <c r="AE73" s="73"/>
      <c r="AF73" s="54"/>
      <c r="AG73" s="76"/>
      <c r="AK73" s="97"/>
      <c r="AL73" s="76"/>
      <c r="AM73" s="97"/>
      <c r="AV73" s="93">
        <f t="shared" si="2"/>
        <v>0</v>
      </c>
      <c r="AW73" s="54"/>
      <c r="AZ73" s="54"/>
      <c r="BA73" s="59"/>
      <c r="BB73" s="54"/>
      <c r="BC73" s="55"/>
      <c r="BE73" s="94"/>
      <c r="BK73" s="93">
        <f t="shared" si="3"/>
        <v>0</v>
      </c>
      <c r="BO73" s="99"/>
      <c r="BP73" s="99">
        <v>0</v>
      </c>
      <c r="CD73" s="56"/>
      <c r="CE73" s="73"/>
      <c r="CF73" s="76"/>
    </row>
    <row r="74" spans="1:89" s="57" customFormat="1" ht="17" customHeight="1">
      <c r="A74" s="54">
        <v>71</v>
      </c>
      <c r="B74" s="54"/>
      <c r="C74" s="54"/>
      <c r="D74" s="58"/>
      <c r="E74" s="54" t="s">
        <v>417</v>
      </c>
      <c r="F74" s="54">
        <v>16.2</v>
      </c>
      <c r="G74" s="54">
        <v>16.2</v>
      </c>
      <c r="H74" s="54">
        <v>16.2</v>
      </c>
      <c r="I74" s="54">
        <v>16.2</v>
      </c>
      <c r="J74" s="117"/>
      <c r="K74" s="113"/>
      <c r="L74" s="113"/>
      <c r="M74" s="113"/>
      <c r="N74" s="113"/>
      <c r="O74" s="113"/>
      <c r="P74" s="113"/>
      <c r="Q74" s="113"/>
      <c r="R74" s="81"/>
      <c r="S74" s="81"/>
      <c r="V74" s="54"/>
      <c r="W74" s="55"/>
      <c r="X74" s="54"/>
      <c r="Y74" s="54"/>
      <c r="Z74" s="54"/>
      <c r="AA74" s="73"/>
      <c r="AB74" s="73"/>
      <c r="AC74" s="73"/>
      <c r="AD74" s="73"/>
      <c r="AE74" s="73"/>
      <c r="AF74" s="54"/>
      <c r="AG74" s="73"/>
      <c r="AL74" s="73"/>
      <c r="AV74" s="93">
        <f t="shared" si="2"/>
        <v>0</v>
      </c>
      <c r="AW74" s="54"/>
      <c r="AZ74" s="54">
        <v>16.2</v>
      </c>
      <c r="BA74" s="54">
        <v>16.2</v>
      </c>
      <c r="BB74" s="54">
        <v>16.2</v>
      </c>
      <c r="BC74" s="55"/>
      <c r="BE74" s="94"/>
      <c r="BK74" s="93">
        <f t="shared" si="3"/>
        <v>0</v>
      </c>
      <c r="BM74" s="57" t="s">
        <v>591</v>
      </c>
      <c r="BO74" s="99"/>
      <c r="BP74" s="99">
        <v>0</v>
      </c>
      <c r="CE74" s="73"/>
      <c r="CK74" s="57" t="s">
        <v>591</v>
      </c>
    </row>
    <row r="75" spans="1:89" s="57" customFormat="1" ht="17" customHeight="1">
      <c r="A75" s="73"/>
      <c r="B75" s="73"/>
      <c r="C75" s="73"/>
      <c r="D75" s="73"/>
      <c r="E75" s="73"/>
      <c r="F75" s="73"/>
      <c r="G75" s="73"/>
      <c r="H75" s="73"/>
      <c r="I75" s="73"/>
      <c r="J75" s="117"/>
      <c r="K75" s="113"/>
      <c r="L75" s="113"/>
      <c r="M75" s="113"/>
      <c r="N75" s="113"/>
      <c r="O75" s="113"/>
      <c r="P75" s="113"/>
      <c r="Q75" s="113"/>
      <c r="R75" s="81"/>
      <c r="S75" s="81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L75" s="73"/>
      <c r="AV75" s="93">
        <f t="shared" si="2"/>
        <v>0</v>
      </c>
      <c r="AW75" s="73"/>
      <c r="AZ75" s="73"/>
      <c r="BA75" s="73"/>
      <c r="BB75" s="73"/>
      <c r="BC75" s="73"/>
      <c r="BE75" s="94"/>
      <c r="BK75" s="93">
        <f t="shared" si="3"/>
        <v>0</v>
      </c>
      <c r="BO75" s="99"/>
      <c r="BP75" s="99">
        <v>0</v>
      </c>
    </row>
    <row r="76" spans="1:89" ht="17" customHeight="1">
      <c r="A76" s="23">
        <v>73</v>
      </c>
      <c r="B76" s="23" t="s">
        <v>202</v>
      </c>
      <c r="C76" s="20">
        <v>16.2</v>
      </c>
      <c r="D76" s="22">
        <v>1</v>
      </c>
      <c r="E76" s="22" t="s">
        <v>419</v>
      </c>
      <c r="F76" s="20">
        <v>16.2</v>
      </c>
      <c r="G76" s="22">
        <v>43045</v>
      </c>
      <c r="H76" s="20">
        <v>16.2</v>
      </c>
      <c r="I76" s="23" t="s">
        <v>334</v>
      </c>
      <c r="J76" s="116">
        <v>1</v>
      </c>
      <c r="K76" s="139">
        <v>0.9667</v>
      </c>
      <c r="L76" s="114"/>
      <c r="M76" s="114"/>
      <c r="N76" s="114"/>
      <c r="O76" s="114"/>
      <c r="P76" s="114"/>
      <c r="Q76" s="114"/>
      <c r="R76" s="81">
        <v>20</v>
      </c>
      <c r="S76" s="81">
        <v>20</v>
      </c>
      <c r="T76" s="82">
        <v>20</v>
      </c>
      <c r="U76" s="83">
        <v>20</v>
      </c>
      <c r="V76" s="23" t="s">
        <v>335</v>
      </c>
      <c r="W76" s="22" t="s">
        <v>182</v>
      </c>
      <c r="X76" s="23" t="s">
        <v>361</v>
      </c>
      <c r="Y76" s="23" t="s">
        <v>446</v>
      </c>
      <c r="Z76" s="23">
        <v>30</v>
      </c>
      <c r="AA76" s="47">
        <v>30</v>
      </c>
      <c r="AB76" s="70">
        <v>1</v>
      </c>
      <c r="AC76" s="47" t="s">
        <v>446</v>
      </c>
      <c r="AF76" s="69"/>
      <c r="AG76" s="72"/>
      <c r="AK76" s="96"/>
      <c r="AL76" s="70">
        <v>1</v>
      </c>
      <c r="AM76" s="139">
        <v>0.9667</v>
      </c>
      <c r="AN76" s="52">
        <v>20</v>
      </c>
      <c r="AO76" s="52">
        <v>20</v>
      </c>
      <c r="AP76" s="52" t="s">
        <v>446</v>
      </c>
      <c r="AQ76" s="52">
        <v>5</v>
      </c>
      <c r="AR76" s="52">
        <v>5</v>
      </c>
      <c r="AS76" s="52">
        <v>5</v>
      </c>
      <c r="AT76" s="52">
        <v>5</v>
      </c>
      <c r="AU76" s="52">
        <v>20</v>
      </c>
      <c r="AV76" s="89">
        <f t="shared" si="2"/>
        <v>20</v>
      </c>
      <c r="AW76" s="23" t="s">
        <v>446</v>
      </c>
      <c r="AX76" s="82">
        <v>20</v>
      </c>
      <c r="AZ76" s="20">
        <v>16.2</v>
      </c>
      <c r="BA76" s="22">
        <v>43045</v>
      </c>
      <c r="BB76" s="23" t="s">
        <v>334</v>
      </c>
      <c r="BC76" s="22" t="s">
        <v>182</v>
      </c>
      <c r="BE76" s="62" t="s">
        <v>446</v>
      </c>
      <c r="BF76" s="62">
        <v>5</v>
      </c>
      <c r="BG76" s="62">
        <v>5</v>
      </c>
      <c r="BH76" s="62">
        <v>5</v>
      </c>
      <c r="BI76" s="62">
        <v>5</v>
      </c>
      <c r="BJ76" s="62">
        <v>20</v>
      </c>
      <c r="BK76" s="90">
        <f t="shared" si="3"/>
        <v>20</v>
      </c>
      <c r="BL76" s="83">
        <v>20</v>
      </c>
      <c r="BM76" s="52" t="s">
        <v>591</v>
      </c>
      <c r="BO76" s="99">
        <v>25</v>
      </c>
      <c r="BP76" s="99">
        <v>0</v>
      </c>
      <c r="CD76" s="51" t="s">
        <v>554</v>
      </c>
      <c r="CE76" s="47" t="s">
        <v>446</v>
      </c>
      <c r="CF76" s="70">
        <v>1</v>
      </c>
      <c r="CH76" s="47" t="s">
        <v>589</v>
      </c>
      <c r="CK76" s="52" t="s">
        <v>591</v>
      </c>
    </row>
    <row r="77" spans="1:89" ht="17" customHeight="1">
      <c r="A77" s="23">
        <v>74</v>
      </c>
      <c r="B77" s="23" t="s">
        <v>202</v>
      </c>
      <c r="C77" s="20">
        <v>16.2</v>
      </c>
      <c r="D77" s="22">
        <v>2</v>
      </c>
      <c r="E77" s="22" t="s">
        <v>420</v>
      </c>
      <c r="F77" s="20">
        <v>16.2</v>
      </c>
      <c r="G77" s="22">
        <v>43055</v>
      </c>
      <c r="H77" s="20">
        <v>16.2</v>
      </c>
      <c r="I77" s="23" t="s">
        <v>336</v>
      </c>
      <c r="J77" s="116">
        <v>0.93300000000000005</v>
      </c>
      <c r="K77" s="139">
        <v>0.93330000000000002</v>
      </c>
      <c r="L77" s="114"/>
      <c r="M77" s="114"/>
      <c r="N77" s="114"/>
      <c r="O77" s="114"/>
      <c r="P77" s="114"/>
      <c r="Q77" s="114"/>
      <c r="R77" s="81">
        <v>13</v>
      </c>
      <c r="S77" s="81">
        <v>18</v>
      </c>
      <c r="T77" s="82">
        <v>19.5</v>
      </c>
      <c r="U77" s="83">
        <v>19.5</v>
      </c>
      <c r="V77" s="23" t="s">
        <v>337</v>
      </c>
      <c r="W77" s="22" t="s">
        <v>156</v>
      </c>
      <c r="X77" s="23" t="s">
        <v>156</v>
      </c>
      <c r="Y77" s="23" t="s">
        <v>447</v>
      </c>
      <c r="Z77" s="23">
        <v>-2</v>
      </c>
      <c r="AA77" s="47">
        <v>28</v>
      </c>
      <c r="AB77" s="70">
        <v>0.93300000000000005</v>
      </c>
      <c r="AC77" s="47" t="s">
        <v>447</v>
      </c>
      <c r="AF77" s="69"/>
      <c r="AG77" s="72"/>
      <c r="AK77" s="96"/>
      <c r="AL77" s="70">
        <v>0.93300000000000005</v>
      </c>
      <c r="AM77" s="139">
        <v>0.93330000000000002</v>
      </c>
      <c r="AN77" s="52">
        <v>13</v>
      </c>
      <c r="AO77" s="52">
        <v>18</v>
      </c>
      <c r="AP77" s="52" t="s">
        <v>447</v>
      </c>
      <c r="AQ77" s="52">
        <v>4.5</v>
      </c>
      <c r="AR77" s="52">
        <v>5</v>
      </c>
      <c r="AS77" s="52">
        <v>5</v>
      </c>
      <c r="AT77" s="52">
        <v>5</v>
      </c>
      <c r="AU77" s="52">
        <v>19.5</v>
      </c>
      <c r="AV77" s="89">
        <f t="shared" si="2"/>
        <v>19.5</v>
      </c>
      <c r="AW77" s="23" t="s">
        <v>447</v>
      </c>
      <c r="AX77" s="82">
        <v>19.5</v>
      </c>
      <c r="AZ77" s="20">
        <v>16.2</v>
      </c>
      <c r="BA77" s="22">
        <v>43055</v>
      </c>
      <c r="BB77" s="23" t="s">
        <v>336</v>
      </c>
      <c r="BC77" s="22" t="s">
        <v>156</v>
      </c>
      <c r="BE77" s="62" t="s">
        <v>447</v>
      </c>
      <c r="BF77" s="62">
        <v>5</v>
      </c>
      <c r="BG77" s="62">
        <v>5</v>
      </c>
      <c r="BH77" s="62">
        <v>5</v>
      </c>
      <c r="BI77" s="62">
        <v>4.5</v>
      </c>
      <c r="BJ77" s="62">
        <v>19.5</v>
      </c>
      <c r="BK77" s="90">
        <f t="shared" si="3"/>
        <v>19.5</v>
      </c>
      <c r="BL77" s="83">
        <v>19.5</v>
      </c>
      <c r="BM77" s="52" t="s">
        <v>591</v>
      </c>
      <c r="BO77" s="99">
        <v>30</v>
      </c>
      <c r="BP77" s="99">
        <v>0</v>
      </c>
      <c r="CD77" s="51" t="s">
        <v>555</v>
      </c>
      <c r="CE77" s="47" t="s">
        <v>447</v>
      </c>
      <c r="CF77" s="70">
        <v>0.93300000000000005</v>
      </c>
      <c r="CH77" s="47" t="s">
        <v>589</v>
      </c>
      <c r="CK77" s="52" t="s">
        <v>591</v>
      </c>
    </row>
    <row r="78" spans="1:89" ht="17" customHeight="1">
      <c r="A78" s="23">
        <v>75</v>
      </c>
      <c r="B78" s="23" t="s">
        <v>202</v>
      </c>
      <c r="C78" s="20">
        <v>16.2</v>
      </c>
      <c r="D78" s="22">
        <v>3</v>
      </c>
      <c r="E78" s="22" t="s">
        <v>421</v>
      </c>
      <c r="F78" s="20">
        <v>16.2</v>
      </c>
      <c r="G78" s="22">
        <v>43063</v>
      </c>
      <c r="H78" s="20">
        <v>16.2</v>
      </c>
      <c r="I78" s="23" t="s">
        <v>338</v>
      </c>
      <c r="J78" s="116">
        <v>0.96699999999999997</v>
      </c>
      <c r="K78" s="139">
        <v>1</v>
      </c>
      <c r="L78" s="114"/>
      <c r="M78" s="114"/>
      <c r="N78" s="114"/>
      <c r="O78" s="114"/>
      <c r="P78" s="114"/>
      <c r="Q78" s="114"/>
      <c r="R78" s="81">
        <v>20</v>
      </c>
      <c r="S78" s="81">
        <v>19</v>
      </c>
      <c r="T78" s="82">
        <v>20</v>
      </c>
      <c r="U78" s="83">
        <v>20</v>
      </c>
      <c r="V78" s="23" t="s">
        <v>339</v>
      </c>
      <c r="W78" s="22" t="s">
        <v>178</v>
      </c>
      <c r="X78" s="23" t="s">
        <v>359</v>
      </c>
      <c r="Y78" s="23" t="s">
        <v>448</v>
      </c>
      <c r="Z78" s="23">
        <v>-1</v>
      </c>
      <c r="AA78" s="47">
        <v>29</v>
      </c>
      <c r="AB78" s="70">
        <v>0.96699999999999997</v>
      </c>
      <c r="AC78" s="47" t="s">
        <v>448</v>
      </c>
      <c r="AF78" s="69"/>
      <c r="AG78" s="72"/>
      <c r="AK78" s="96"/>
      <c r="AL78" s="70">
        <v>0.96699999999999997</v>
      </c>
      <c r="AM78" s="139">
        <v>1</v>
      </c>
      <c r="AN78" s="52">
        <v>20</v>
      </c>
      <c r="AO78" s="52">
        <v>19</v>
      </c>
      <c r="AP78" s="52" t="s">
        <v>448</v>
      </c>
      <c r="AQ78" s="52">
        <v>5</v>
      </c>
      <c r="AR78" s="52">
        <v>5</v>
      </c>
      <c r="AS78" s="52">
        <v>5</v>
      </c>
      <c r="AT78" s="52">
        <v>5</v>
      </c>
      <c r="AU78" s="52">
        <v>20</v>
      </c>
      <c r="AV78" s="89">
        <f t="shared" si="2"/>
        <v>20</v>
      </c>
      <c r="AW78" s="23" t="s">
        <v>448</v>
      </c>
      <c r="AX78" s="82">
        <v>20</v>
      </c>
      <c r="AZ78" s="20">
        <v>16.2</v>
      </c>
      <c r="BA78" s="22">
        <v>43063</v>
      </c>
      <c r="BB78" s="23" t="s">
        <v>338</v>
      </c>
      <c r="BC78" s="22" t="s">
        <v>178</v>
      </c>
      <c r="BE78" s="62" t="s">
        <v>448</v>
      </c>
      <c r="BF78" s="62">
        <v>5</v>
      </c>
      <c r="BG78" s="62">
        <v>5</v>
      </c>
      <c r="BH78" s="62">
        <v>5</v>
      </c>
      <c r="BI78" s="62">
        <v>5</v>
      </c>
      <c r="BJ78" s="62">
        <v>20</v>
      </c>
      <c r="BK78" s="90">
        <f t="shared" si="3"/>
        <v>20</v>
      </c>
      <c r="BL78" s="83">
        <v>20</v>
      </c>
      <c r="BM78" s="52" t="s">
        <v>591</v>
      </c>
      <c r="BO78" s="99">
        <v>30</v>
      </c>
      <c r="BP78" s="99">
        <v>0</v>
      </c>
      <c r="CD78" s="51" t="s">
        <v>556</v>
      </c>
      <c r="CE78" s="47" t="s">
        <v>448</v>
      </c>
      <c r="CF78" s="70">
        <v>0.96699999999999997</v>
      </c>
      <c r="CH78" s="47" t="s">
        <v>589</v>
      </c>
      <c r="CK78" s="52" t="s">
        <v>591</v>
      </c>
    </row>
    <row r="79" spans="1:89" s="57" customFormat="1" ht="17" customHeight="1">
      <c r="A79" s="54">
        <v>76</v>
      </c>
      <c r="B79" s="54"/>
      <c r="C79" s="54"/>
      <c r="D79" s="55"/>
      <c r="E79" s="55" t="s">
        <v>411</v>
      </c>
      <c r="F79" s="54">
        <v>0</v>
      </c>
      <c r="G79" s="55">
        <v>55555</v>
      </c>
      <c r="H79" s="54">
        <v>0</v>
      </c>
      <c r="I79" s="54" t="s">
        <v>412</v>
      </c>
      <c r="J79" s="117"/>
      <c r="K79" s="139">
        <v>0</v>
      </c>
      <c r="L79" s="113"/>
      <c r="M79" s="113"/>
      <c r="N79" s="113"/>
      <c r="O79" s="113"/>
      <c r="P79" s="113"/>
      <c r="Q79" s="113"/>
      <c r="R79" s="81"/>
      <c r="S79" s="81"/>
      <c r="T79" s="57">
        <v>18.5</v>
      </c>
      <c r="U79" s="57">
        <v>18.5</v>
      </c>
      <c r="V79" s="54" t="s">
        <v>416</v>
      </c>
      <c r="W79" s="55"/>
      <c r="X79" s="54"/>
      <c r="Y79" s="54" t="s">
        <v>449</v>
      </c>
      <c r="Z79" s="54"/>
      <c r="AA79" s="73"/>
      <c r="AB79" s="73"/>
      <c r="AC79" s="73" t="s">
        <v>449</v>
      </c>
      <c r="AD79" s="73"/>
      <c r="AE79" s="73"/>
      <c r="AF79" s="54"/>
      <c r="AG79" s="73"/>
      <c r="AL79" s="73"/>
      <c r="AM79" s="139">
        <v>0</v>
      </c>
      <c r="AP79" s="57" t="s">
        <v>449</v>
      </c>
      <c r="AQ79" s="57">
        <v>4</v>
      </c>
      <c r="AR79" s="57">
        <v>4.75</v>
      </c>
      <c r="AS79" s="57">
        <v>4.75</v>
      </c>
      <c r="AT79" s="57">
        <v>5</v>
      </c>
      <c r="AU79" s="57">
        <v>18.5</v>
      </c>
      <c r="AV79" s="93">
        <f t="shared" si="2"/>
        <v>18.5</v>
      </c>
      <c r="AW79" s="54" t="s">
        <v>449</v>
      </c>
      <c r="AX79" s="57">
        <v>18.5</v>
      </c>
      <c r="AZ79" s="54">
        <v>0</v>
      </c>
      <c r="BA79" s="55">
        <v>55555</v>
      </c>
      <c r="BB79" s="54" t="s">
        <v>412</v>
      </c>
      <c r="BC79" s="55"/>
      <c r="BE79" s="104"/>
      <c r="BF79" s="62"/>
      <c r="BG79" s="62"/>
      <c r="BH79" s="62"/>
      <c r="BI79" s="62"/>
      <c r="BJ79" s="62"/>
      <c r="BK79" s="93">
        <f t="shared" si="3"/>
        <v>0</v>
      </c>
      <c r="BL79" s="57">
        <v>18.5</v>
      </c>
      <c r="BM79" s="57" t="s">
        <v>591</v>
      </c>
      <c r="BO79" s="99"/>
      <c r="BP79" s="99">
        <v>0</v>
      </c>
      <c r="CD79" s="56" t="s">
        <v>496</v>
      </c>
      <c r="CE79" s="73" t="s">
        <v>449</v>
      </c>
      <c r="CK79" s="57" t="s">
        <v>591</v>
      </c>
    </row>
    <row r="80" spans="1:89" ht="17" customHeight="1">
      <c r="A80" s="23">
        <v>77</v>
      </c>
      <c r="B80" s="23" t="s">
        <v>203</v>
      </c>
      <c r="C80" s="20">
        <v>16.2</v>
      </c>
      <c r="D80" s="22">
        <v>4</v>
      </c>
      <c r="E80" s="22" t="s">
        <v>422</v>
      </c>
      <c r="F80" s="20">
        <v>16.2</v>
      </c>
      <c r="G80" s="22">
        <v>43093</v>
      </c>
      <c r="H80" s="20">
        <v>16.2</v>
      </c>
      <c r="I80" s="23" t="s">
        <v>340</v>
      </c>
      <c r="J80" s="116">
        <v>0.93300000000000005</v>
      </c>
      <c r="K80" s="139">
        <v>0.83330000000000004</v>
      </c>
      <c r="L80" s="114"/>
      <c r="M80" s="114"/>
      <c r="N80" s="114"/>
      <c r="O80" s="114"/>
      <c r="P80" s="114"/>
      <c r="Q80" s="114"/>
      <c r="R80" s="81">
        <v>13</v>
      </c>
      <c r="S80" s="81">
        <v>18</v>
      </c>
      <c r="T80" s="82">
        <v>10.5</v>
      </c>
      <c r="U80" s="83">
        <v>10.5</v>
      </c>
      <c r="V80" s="23" t="s">
        <v>341</v>
      </c>
      <c r="W80" s="22" t="s">
        <v>159</v>
      </c>
      <c r="X80" s="23" t="s">
        <v>159</v>
      </c>
      <c r="Y80" s="23" t="s">
        <v>450</v>
      </c>
      <c r="Z80" s="23">
        <v>-2</v>
      </c>
      <c r="AA80" s="47">
        <v>28</v>
      </c>
      <c r="AB80" s="70">
        <v>0.93300000000000005</v>
      </c>
      <c r="AC80" s="47" t="s">
        <v>450</v>
      </c>
      <c r="AF80" s="69"/>
      <c r="AG80" s="72"/>
      <c r="AK80" s="96"/>
      <c r="AL80" s="70">
        <v>0.93300000000000005</v>
      </c>
      <c r="AM80" s="139">
        <v>0.83330000000000004</v>
      </c>
      <c r="AN80" s="52">
        <v>13</v>
      </c>
      <c r="AO80" s="52">
        <v>18</v>
      </c>
      <c r="AP80" s="52" t="s">
        <v>450</v>
      </c>
      <c r="AQ80" s="52">
        <v>2.5</v>
      </c>
      <c r="AR80" s="52">
        <v>2.75</v>
      </c>
      <c r="AS80" s="52">
        <v>2.5</v>
      </c>
      <c r="AT80" s="52">
        <v>2.75</v>
      </c>
      <c r="AU80" s="52">
        <v>10.5</v>
      </c>
      <c r="AV80" s="89">
        <f t="shared" si="2"/>
        <v>10.5</v>
      </c>
      <c r="AW80" s="23" t="s">
        <v>450</v>
      </c>
      <c r="AX80" s="82">
        <v>10.5</v>
      </c>
      <c r="AZ80" s="20">
        <v>16.2</v>
      </c>
      <c r="BA80" s="22">
        <v>43093</v>
      </c>
      <c r="BB80" s="23" t="s">
        <v>340</v>
      </c>
      <c r="BC80" s="22" t="s">
        <v>159</v>
      </c>
      <c r="BE80" s="62" t="s">
        <v>450</v>
      </c>
      <c r="BF80" s="62">
        <v>3</v>
      </c>
      <c r="BG80" s="62">
        <v>3</v>
      </c>
      <c r="BH80" s="62">
        <v>2.5</v>
      </c>
      <c r="BI80" s="62">
        <v>2</v>
      </c>
      <c r="BJ80" s="62">
        <v>10.5</v>
      </c>
      <c r="BK80" s="90">
        <f t="shared" si="3"/>
        <v>10.5</v>
      </c>
      <c r="BL80" s="83">
        <v>10.5</v>
      </c>
      <c r="BM80" s="52" t="s">
        <v>591</v>
      </c>
      <c r="BO80" s="99">
        <v>19</v>
      </c>
      <c r="BP80" s="99">
        <v>0</v>
      </c>
      <c r="CD80" s="51" t="s">
        <v>557</v>
      </c>
      <c r="CE80" s="47" t="s">
        <v>450</v>
      </c>
      <c r="CF80" s="70">
        <v>0.93300000000000005</v>
      </c>
      <c r="CH80" s="47" t="s">
        <v>589</v>
      </c>
      <c r="CK80" s="52" t="s">
        <v>591</v>
      </c>
    </row>
    <row r="81" spans="1:89" ht="17" customHeight="1">
      <c r="A81" s="23">
        <v>78</v>
      </c>
      <c r="B81" s="23" t="s">
        <v>203</v>
      </c>
      <c r="C81" s="20">
        <v>16.2</v>
      </c>
      <c r="D81" s="22">
        <v>5</v>
      </c>
      <c r="E81" s="22" t="s">
        <v>423</v>
      </c>
      <c r="F81" s="20">
        <v>16.2</v>
      </c>
      <c r="G81" s="22">
        <v>43113</v>
      </c>
      <c r="H81" s="20">
        <v>16.2</v>
      </c>
      <c r="I81" s="23" t="s">
        <v>342</v>
      </c>
      <c r="J81" s="116">
        <v>0.7</v>
      </c>
      <c r="K81" s="139">
        <v>0.83330000000000004</v>
      </c>
      <c r="L81" s="114"/>
      <c r="M81" s="114"/>
      <c r="N81" s="114"/>
      <c r="O81" s="114"/>
      <c r="P81" s="114"/>
      <c r="Q81" s="114"/>
      <c r="R81" s="81">
        <v>11</v>
      </c>
      <c r="S81" s="81">
        <v>9</v>
      </c>
      <c r="T81" s="82">
        <v>20</v>
      </c>
      <c r="U81" s="83">
        <v>20</v>
      </c>
      <c r="V81" s="23" t="s">
        <v>343</v>
      </c>
      <c r="W81" s="22" t="s">
        <v>161</v>
      </c>
      <c r="X81" s="23" t="s">
        <v>363</v>
      </c>
      <c r="Y81" s="23" t="s">
        <v>442</v>
      </c>
      <c r="Z81" s="23">
        <v>-9</v>
      </c>
      <c r="AA81" s="47">
        <v>21</v>
      </c>
      <c r="AB81" s="70">
        <v>0.7</v>
      </c>
      <c r="AC81" s="47" t="s">
        <v>442</v>
      </c>
      <c r="AF81" s="69"/>
      <c r="AG81" s="72"/>
      <c r="AK81" s="96"/>
      <c r="AL81" s="70">
        <v>0.7</v>
      </c>
      <c r="AM81" s="139">
        <v>0.83330000000000004</v>
      </c>
      <c r="AN81" s="52">
        <v>11</v>
      </c>
      <c r="AO81" s="52">
        <v>9</v>
      </c>
      <c r="AP81" s="52" t="s">
        <v>442</v>
      </c>
      <c r="AQ81" s="52">
        <v>5</v>
      </c>
      <c r="AR81" s="52">
        <v>5</v>
      </c>
      <c r="AS81" s="52">
        <v>5</v>
      </c>
      <c r="AT81" s="52">
        <v>5</v>
      </c>
      <c r="AU81" s="52">
        <v>20</v>
      </c>
      <c r="AV81" s="89">
        <f t="shared" si="2"/>
        <v>20</v>
      </c>
      <c r="AW81" s="23" t="s">
        <v>442</v>
      </c>
      <c r="AX81" s="82">
        <v>20</v>
      </c>
      <c r="AZ81" s="20">
        <v>16.2</v>
      </c>
      <c r="BA81" s="22">
        <v>43113</v>
      </c>
      <c r="BB81" s="23" t="s">
        <v>342</v>
      </c>
      <c r="BC81" s="22" t="s">
        <v>161</v>
      </c>
      <c r="BE81" s="62" t="s">
        <v>442</v>
      </c>
      <c r="BF81" s="62">
        <v>5</v>
      </c>
      <c r="BG81" s="62">
        <v>5</v>
      </c>
      <c r="BH81" s="62">
        <v>5</v>
      </c>
      <c r="BI81" s="62">
        <v>5</v>
      </c>
      <c r="BJ81" s="62">
        <v>20</v>
      </c>
      <c r="BK81" s="90">
        <f t="shared" si="3"/>
        <v>20</v>
      </c>
      <c r="BL81" s="83">
        <v>20</v>
      </c>
      <c r="BM81" s="52" t="s">
        <v>591</v>
      </c>
      <c r="BO81" s="99">
        <v>9</v>
      </c>
      <c r="BP81" s="99">
        <v>0</v>
      </c>
      <c r="CD81" s="51" t="s">
        <v>558</v>
      </c>
      <c r="CE81" s="47" t="s">
        <v>442</v>
      </c>
      <c r="CF81" s="70">
        <v>0.7</v>
      </c>
      <c r="CH81" s="47" t="s">
        <v>589</v>
      </c>
      <c r="CK81" s="52" t="s">
        <v>591</v>
      </c>
    </row>
    <row r="82" spans="1:89" ht="17" customHeight="1">
      <c r="A82" s="23">
        <v>79</v>
      </c>
      <c r="B82" s="23" t="s">
        <v>203</v>
      </c>
      <c r="C82" s="20">
        <v>16.2</v>
      </c>
      <c r="D82" s="22">
        <v>6</v>
      </c>
      <c r="E82" s="22" t="s">
        <v>424</v>
      </c>
      <c r="F82" s="20">
        <v>16.2</v>
      </c>
      <c r="G82" s="22">
        <v>43128</v>
      </c>
      <c r="H82" s="20">
        <v>16.2</v>
      </c>
      <c r="I82" s="23" t="s">
        <v>434</v>
      </c>
      <c r="J82" s="116">
        <v>0.66700000000000004</v>
      </c>
      <c r="K82" s="139">
        <v>0.8</v>
      </c>
      <c r="L82" s="114"/>
      <c r="M82" s="114"/>
      <c r="N82" s="114"/>
      <c r="O82" s="114"/>
      <c r="P82" s="114"/>
      <c r="Q82" s="114"/>
      <c r="R82" s="81">
        <v>16</v>
      </c>
      <c r="S82" s="81">
        <v>13</v>
      </c>
      <c r="T82" s="82">
        <v>10</v>
      </c>
      <c r="U82" s="83">
        <v>10</v>
      </c>
      <c r="V82" s="23" t="s">
        <v>435</v>
      </c>
      <c r="W82" s="22" t="s">
        <v>163</v>
      </c>
      <c r="X82" s="23" t="s">
        <v>362</v>
      </c>
      <c r="Y82" s="23" t="s">
        <v>441</v>
      </c>
      <c r="Z82" s="23">
        <v>-10</v>
      </c>
      <c r="AA82" s="47">
        <v>20</v>
      </c>
      <c r="AB82" s="70">
        <v>0.66700000000000004</v>
      </c>
      <c r="AC82" s="47" t="s">
        <v>441</v>
      </c>
      <c r="AF82" s="69"/>
      <c r="AG82" s="72"/>
      <c r="AK82" s="96"/>
      <c r="AL82" s="70">
        <v>0.66700000000000004</v>
      </c>
      <c r="AM82" s="139">
        <v>0.8</v>
      </c>
      <c r="AN82" s="52">
        <v>16</v>
      </c>
      <c r="AO82" s="52">
        <v>13</v>
      </c>
      <c r="AP82" s="52" t="s">
        <v>441</v>
      </c>
      <c r="AQ82" s="52">
        <v>2.5</v>
      </c>
      <c r="AR82" s="52">
        <v>2.5</v>
      </c>
      <c r="AS82" s="52">
        <v>2.5</v>
      </c>
      <c r="AT82" s="52">
        <v>2.5</v>
      </c>
      <c r="AU82" s="52">
        <v>10</v>
      </c>
      <c r="AV82" s="89">
        <f t="shared" si="2"/>
        <v>10</v>
      </c>
      <c r="AW82" s="23" t="s">
        <v>441</v>
      </c>
      <c r="AX82" s="82">
        <v>10</v>
      </c>
      <c r="AZ82" s="20">
        <v>16.2</v>
      </c>
      <c r="BA82" s="22">
        <v>43128</v>
      </c>
      <c r="BB82" s="23" t="s">
        <v>434</v>
      </c>
      <c r="BC82" s="22" t="s">
        <v>163</v>
      </c>
      <c r="BE82" s="62" t="s">
        <v>441</v>
      </c>
      <c r="BF82" s="62">
        <v>3</v>
      </c>
      <c r="BG82" s="62">
        <v>2.5</v>
      </c>
      <c r="BH82" s="62">
        <v>2.5</v>
      </c>
      <c r="BI82" s="62">
        <v>2</v>
      </c>
      <c r="BJ82" s="62">
        <v>10</v>
      </c>
      <c r="BK82" s="90">
        <f t="shared" si="3"/>
        <v>10</v>
      </c>
      <c r="BL82" s="83">
        <v>10</v>
      </c>
      <c r="BM82" s="52" t="s">
        <v>591</v>
      </c>
      <c r="BO82" s="99">
        <v>12</v>
      </c>
      <c r="BP82" s="99">
        <v>0</v>
      </c>
      <c r="CD82" s="51" t="s">
        <v>559</v>
      </c>
      <c r="CE82" s="47" t="s">
        <v>441</v>
      </c>
      <c r="CF82" s="70">
        <v>0.66700000000000004</v>
      </c>
      <c r="CH82" s="47" t="s">
        <v>589</v>
      </c>
      <c r="CK82" s="52" t="s">
        <v>591</v>
      </c>
    </row>
    <row r="83" spans="1:89" ht="17" customHeight="1">
      <c r="A83" s="23">
        <v>80</v>
      </c>
      <c r="B83" s="23" t="s">
        <v>204</v>
      </c>
      <c r="C83" s="20">
        <v>16.2</v>
      </c>
      <c r="D83" s="22">
        <v>7</v>
      </c>
      <c r="E83" s="22" t="s">
        <v>425</v>
      </c>
      <c r="F83" s="20">
        <v>16.2</v>
      </c>
      <c r="G83" s="22">
        <v>43143</v>
      </c>
      <c r="H83" s="20">
        <v>16.2</v>
      </c>
      <c r="I83" s="23" t="s">
        <v>344</v>
      </c>
      <c r="J83" s="116">
        <v>0.36699999999999999</v>
      </c>
      <c r="K83" s="139">
        <v>0.4667</v>
      </c>
      <c r="L83" s="114"/>
      <c r="M83" s="114"/>
      <c r="N83" s="114"/>
      <c r="O83" s="114"/>
      <c r="P83" s="114"/>
      <c r="Q83" s="114"/>
      <c r="R83" s="81">
        <v>9</v>
      </c>
      <c r="S83" s="81">
        <v>17</v>
      </c>
      <c r="T83" s="82">
        <v>14</v>
      </c>
      <c r="U83" s="83">
        <v>14</v>
      </c>
      <c r="V83" s="23" t="s">
        <v>345</v>
      </c>
      <c r="W83" s="22" t="s">
        <v>166</v>
      </c>
      <c r="X83" s="20" t="s">
        <v>401</v>
      </c>
      <c r="Y83" s="20" t="s">
        <v>439</v>
      </c>
      <c r="Z83" s="23">
        <v>-19</v>
      </c>
      <c r="AA83" s="47">
        <v>11</v>
      </c>
      <c r="AB83" s="70">
        <v>0.36699999999999999</v>
      </c>
      <c r="AC83" s="47" t="s">
        <v>439</v>
      </c>
      <c r="AF83" s="69"/>
      <c r="AG83" s="72"/>
      <c r="AK83" s="96"/>
      <c r="AL83" s="70">
        <v>0.36699999999999999</v>
      </c>
      <c r="AM83" s="139">
        <v>0.4667</v>
      </c>
      <c r="AN83" s="52">
        <v>9</v>
      </c>
      <c r="AO83" s="52">
        <v>17</v>
      </c>
      <c r="AP83" s="52" t="s">
        <v>439</v>
      </c>
      <c r="AQ83" s="52">
        <v>3</v>
      </c>
      <c r="AR83" s="52">
        <v>3.5</v>
      </c>
      <c r="AS83" s="52">
        <v>3.75</v>
      </c>
      <c r="AT83" s="52">
        <v>3.75</v>
      </c>
      <c r="AU83" s="52">
        <v>14</v>
      </c>
      <c r="AV83" s="89">
        <f t="shared" si="2"/>
        <v>14</v>
      </c>
      <c r="AW83" s="20" t="s">
        <v>439</v>
      </c>
      <c r="AX83" s="82">
        <v>14</v>
      </c>
      <c r="AZ83" s="20">
        <v>16.2</v>
      </c>
      <c r="BA83" s="22">
        <v>43143</v>
      </c>
      <c r="BB83" s="23" t="s">
        <v>344</v>
      </c>
      <c r="BC83" s="22" t="s">
        <v>166</v>
      </c>
      <c r="BE83" s="62" t="s">
        <v>439</v>
      </c>
      <c r="BF83" s="62">
        <v>4</v>
      </c>
      <c r="BG83" s="62">
        <v>3.5</v>
      </c>
      <c r="BH83" s="62">
        <v>3.5</v>
      </c>
      <c r="BI83" s="62">
        <v>3</v>
      </c>
      <c r="BJ83" s="62">
        <v>14</v>
      </c>
      <c r="BK83" s="90">
        <f t="shared" si="3"/>
        <v>14</v>
      </c>
      <c r="BL83" s="83">
        <v>14</v>
      </c>
      <c r="BM83" s="52" t="s">
        <v>592</v>
      </c>
      <c r="BO83" s="99">
        <v>8</v>
      </c>
      <c r="BP83" s="99">
        <v>0</v>
      </c>
      <c r="CD83" s="51" t="s">
        <v>560</v>
      </c>
      <c r="CE83" s="47" t="s">
        <v>439</v>
      </c>
      <c r="CF83" s="70">
        <v>0.36699999999999999</v>
      </c>
      <c r="CH83" s="47" t="s">
        <v>589</v>
      </c>
      <c r="CK83" s="52" t="s">
        <v>624</v>
      </c>
    </row>
    <row r="84" spans="1:89" ht="17" customHeight="1">
      <c r="A84" s="23">
        <v>81</v>
      </c>
      <c r="B84" s="23" t="s">
        <v>204</v>
      </c>
      <c r="C84" s="20">
        <v>16.2</v>
      </c>
      <c r="D84" s="22">
        <v>8</v>
      </c>
      <c r="E84" s="22" t="s">
        <v>426</v>
      </c>
      <c r="F84" s="20">
        <v>16.2</v>
      </c>
      <c r="G84" s="22">
        <v>43144</v>
      </c>
      <c r="H84" s="20">
        <v>16.2</v>
      </c>
      <c r="I84" s="23" t="s">
        <v>346</v>
      </c>
      <c r="J84" s="116">
        <v>0.93300000000000005</v>
      </c>
      <c r="K84" s="119" t="s">
        <v>478</v>
      </c>
      <c r="L84" s="114"/>
      <c r="M84" s="114"/>
      <c r="N84" s="114"/>
      <c r="O84" s="114"/>
      <c r="P84" s="114"/>
      <c r="Q84" s="114"/>
      <c r="R84" s="81">
        <v>16</v>
      </c>
      <c r="S84" s="81">
        <v>17</v>
      </c>
      <c r="T84" s="82">
        <v>19.5</v>
      </c>
      <c r="U84" s="83">
        <v>19.5</v>
      </c>
      <c r="V84" s="23" t="s">
        <v>347</v>
      </c>
      <c r="W84" s="22" t="s">
        <v>168</v>
      </c>
      <c r="X84" s="20" t="s">
        <v>400</v>
      </c>
      <c r="Y84" s="20" t="s">
        <v>451</v>
      </c>
      <c r="Z84" s="23">
        <v>-2</v>
      </c>
      <c r="AA84" s="47">
        <v>28</v>
      </c>
      <c r="AB84" s="70">
        <v>0.93300000000000005</v>
      </c>
      <c r="AC84" s="47" t="s">
        <v>451</v>
      </c>
      <c r="AF84" s="69"/>
      <c r="AG84" s="72"/>
      <c r="AK84" s="96"/>
      <c r="AL84" s="70">
        <v>0.93300000000000005</v>
      </c>
      <c r="AM84" s="139">
        <v>0</v>
      </c>
      <c r="AN84" s="52">
        <v>16</v>
      </c>
      <c r="AO84" s="52">
        <v>17</v>
      </c>
      <c r="AP84" s="52" t="s">
        <v>451</v>
      </c>
      <c r="AQ84" s="52">
        <v>4.5</v>
      </c>
      <c r="AR84" s="52">
        <v>5</v>
      </c>
      <c r="AS84" s="52">
        <v>5</v>
      </c>
      <c r="AT84" s="52">
        <v>5</v>
      </c>
      <c r="AU84" s="52">
        <v>19.5</v>
      </c>
      <c r="AV84" s="89">
        <f t="shared" si="2"/>
        <v>19.5</v>
      </c>
      <c r="AW84" s="20" t="s">
        <v>451</v>
      </c>
      <c r="AX84" s="82">
        <v>19.5</v>
      </c>
      <c r="AZ84" s="20">
        <v>16.2</v>
      </c>
      <c r="BA84" s="22">
        <v>43144</v>
      </c>
      <c r="BB84" s="23" t="s">
        <v>346</v>
      </c>
      <c r="BC84" s="22" t="s">
        <v>168</v>
      </c>
      <c r="BE84" s="62" t="s">
        <v>451</v>
      </c>
      <c r="BF84" s="62">
        <v>5</v>
      </c>
      <c r="BG84" s="62">
        <v>5</v>
      </c>
      <c r="BH84" s="62">
        <v>5</v>
      </c>
      <c r="BI84" s="62">
        <v>4.5</v>
      </c>
      <c r="BJ84" s="62">
        <v>19.5</v>
      </c>
      <c r="BK84" s="90">
        <f t="shared" si="3"/>
        <v>19.5</v>
      </c>
      <c r="BL84" s="83">
        <v>19.5</v>
      </c>
      <c r="BM84" s="52" t="s">
        <v>591</v>
      </c>
      <c r="BO84" s="99">
        <v>13</v>
      </c>
      <c r="BP84" s="99">
        <v>0</v>
      </c>
      <c r="CD84" s="51" t="s">
        <v>561</v>
      </c>
      <c r="CE84" s="47" t="s">
        <v>451</v>
      </c>
      <c r="CF84" s="70">
        <v>0.93300000000000005</v>
      </c>
      <c r="CH84" s="47" t="s">
        <v>589</v>
      </c>
      <c r="CK84" s="52" t="s">
        <v>591</v>
      </c>
    </row>
    <row r="85" spans="1:89" ht="17" customHeight="1">
      <c r="A85" s="23">
        <v>82</v>
      </c>
      <c r="B85" s="23" t="s">
        <v>204</v>
      </c>
      <c r="C85" s="20">
        <v>16.2</v>
      </c>
      <c r="D85" s="22">
        <v>9</v>
      </c>
      <c r="E85" s="22" t="s">
        <v>427</v>
      </c>
      <c r="F85" s="20">
        <v>16.2</v>
      </c>
      <c r="G85" s="22">
        <v>46496</v>
      </c>
      <c r="H85" s="20">
        <v>16.2</v>
      </c>
      <c r="I85" s="20" t="s">
        <v>231</v>
      </c>
      <c r="J85" s="116">
        <v>0.5</v>
      </c>
      <c r="K85" s="139">
        <v>0.86670000000000003</v>
      </c>
      <c r="L85" s="114"/>
      <c r="M85" s="114"/>
      <c r="N85" s="114"/>
      <c r="O85" s="114"/>
      <c r="P85" s="114"/>
      <c r="Q85" s="114"/>
      <c r="R85" s="81">
        <v>13</v>
      </c>
      <c r="S85" s="81">
        <v>9</v>
      </c>
      <c r="T85" s="82">
        <v>18.5</v>
      </c>
      <c r="U85" s="83">
        <v>18.5</v>
      </c>
      <c r="V85" s="20" t="s">
        <v>232</v>
      </c>
      <c r="W85" s="19" t="s">
        <v>171</v>
      </c>
      <c r="X85" s="23" t="s">
        <v>360</v>
      </c>
      <c r="Y85" s="23" t="s">
        <v>443</v>
      </c>
      <c r="Z85" s="23">
        <v>-15</v>
      </c>
      <c r="AA85" s="47">
        <v>15</v>
      </c>
      <c r="AB85" s="70">
        <v>0.5</v>
      </c>
      <c r="AC85" s="47" t="s">
        <v>443</v>
      </c>
      <c r="AF85" s="69"/>
      <c r="AG85" s="72"/>
      <c r="AK85" s="96"/>
      <c r="AL85" s="70">
        <v>0.5</v>
      </c>
      <c r="AM85" s="139">
        <v>0.86670000000000003</v>
      </c>
      <c r="AN85" s="52">
        <v>13</v>
      </c>
      <c r="AO85" s="52">
        <v>9</v>
      </c>
      <c r="AP85" s="52" t="s">
        <v>443</v>
      </c>
      <c r="AQ85" s="52">
        <v>4</v>
      </c>
      <c r="AR85" s="52">
        <v>4.75</v>
      </c>
      <c r="AS85" s="52">
        <v>4.75</v>
      </c>
      <c r="AT85" s="52">
        <v>5</v>
      </c>
      <c r="AU85" s="52">
        <v>18.5</v>
      </c>
      <c r="AV85" s="89">
        <f t="shared" si="2"/>
        <v>18.5</v>
      </c>
      <c r="AW85" s="23" t="s">
        <v>443</v>
      </c>
      <c r="AX85" s="82">
        <v>18.5</v>
      </c>
      <c r="AZ85" s="20">
        <v>16.2</v>
      </c>
      <c r="BA85" s="22">
        <v>46496</v>
      </c>
      <c r="BB85" s="20" t="s">
        <v>231</v>
      </c>
      <c r="BC85" s="19" t="s">
        <v>171</v>
      </c>
      <c r="BE85" s="62" t="s">
        <v>443</v>
      </c>
      <c r="BF85" s="62">
        <v>5</v>
      </c>
      <c r="BG85" s="62">
        <v>4.5</v>
      </c>
      <c r="BH85" s="62">
        <v>4.5</v>
      </c>
      <c r="BI85" s="62">
        <v>4.5</v>
      </c>
      <c r="BJ85" s="62">
        <v>18.5</v>
      </c>
      <c r="BK85" s="90">
        <f t="shared" si="3"/>
        <v>18.5</v>
      </c>
      <c r="BL85" s="83">
        <v>18.5</v>
      </c>
      <c r="BM85" s="52" t="s">
        <v>591</v>
      </c>
      <c r="BO85" s="99">
        <v>7</v>
      </c>
      <c r="BP85" s="99">
        <v>0</v>
      </c>
      <c r="CD85" s="51" t="s">
        <v>562</v>
      </c>
      <c r="CE85" s="47" t="s">
        <v>443</v>
      </c>
      <c r="CF85" s="70">
        <v>0.5</v>
      </c>
      <c r="CH85" s="47" t="s">
        <v>589</v>
      </c>
      <c r="CK85" s="52" t="s">
        <v>591</v>
      </c>
    </row>
    <row r="86" spans="1:89" ht="17" customHeight="1">
      <c r="A86" s="23">
        <v>83</v>
      </c>
      <c r="B86" s="23" t="s">
        <v>204</v>
      </c>
      <c r="C86" s="20">
        <v>16.2</v>
      </c>
      <c r="D86" s="22">
        <v>10</v>
      </c>
      <c r="E86" s="22" t="s">
        <v>428</v>
      </c>
      <c r="F86" s="20">
        <v>16.2</v>
      </c>
      <c r="G86" s="22">
        <v>46923</v>
      </c>
      <c r="H86" s="20">
        <v>16.2</v>
      </c>
      <c r="I86" s="20" t="s">
        <v>221</v>
      </c>
      <c r="J86" s="116">
        <v>0.96699999999999997</v>
      </c>
      <c r="K86" s="139">
        <v>0.9667</v>
      </c>
      <c r="L86" s="114"/>
      <c r="M86" s="114"/>
      <c r="N86" s="114"/>
      <c r="O86" s="114"/>
      <c r="P86" s="114"/>
      <c r="Q86" s="114"/>
      <c r="R86" s="81">
        <v>18</v>
      </c>
      <c r="S86" s="81">
        <v>17</v>
      </c>
      <c r="T86" s="82">
        <v>20</v>
      </c>
      <c r="U86" s="83">
        <v>20</v>
      </c>
      <c r="V86" s="20" t="s">
        <v>222</v>
      </c>
      <c r="W86" s="19" t="s">
        <v>223</v>
      </c>
      <c r="X86" s="23" t="s">
        <v>365</v>
      </c>
      <c r="Y86" s="23" t="s">
        <v>452</v>
      </c>
      <c r="Z86" s="23">
        <v>-1</v>
      </c>
      <c r="AA86" s="47">
        <v>29</v>
      </c>
      <c r="AB86" s="70">
        <v>0.96699999999999997</v>
      </c>
      <c r="AC86" s="47" t="s">
        <v>452</v>
      </c>
      <c r="AF86" s="69"/>
      <c r="AG86" s="72"/>
      <c r="AK86" s="96"/>
      <c r="AL86" s="70">
        <v>0.96699999999999997</v>
      </c>
      <c r="AM86" s="139">
        <v>0.9667</v>
      </c>
      <c r="AN86" s="52">
        <v>18</v>
      </c>
      <c r="AO86" s="52">
        <v>17</v>
      </c>
      <c r="AP86" s="52" t="s">
        <v>452</v>
      </c>
      <c r="AQ86" s="52">
        <v>5</v>
      </c>
      <c r="AR86" s="52">
        <v>5</v>
      </c>
      <c r="AS86" s="52">
        <v>5</v>
      </c>
      <c r="AT86" s="52">
        <v>5</v>
      </c>
      <c r="AU86" s="52">
        <v>20</v>
      </c>
      <c r="AV86" s="89">
        <f t="shared" si="2"/>
        <v>20</v>
      </c>
      <c r="AW86" s="23" t="s">
        <v>452</v>
      </c>
      <c r="AX86" s="82">
        <v>20</v>
      </c>
      <c r="AZ86" s="20">
        <v>16.2</v>
      </c>
      <c r="BA86" s="22">
        <v>46923</v>
      </c>
      <c r="BB86" s="20" t="s">
        <v>221</v>
      </c>
      <c r="BC86" s="19" t="s">
        <v>223</v>
      </c>
      <c r="BE86" s="62" t="s">
        <v>452</v>
      </c>
      <c r="BF86" s="62">
        <v>5</v>
      </c>
      <c r="BG86" s="62">
        <v>5</v>
      </c>
      <c r="BH86" s="62">
        <v>5</v>
      </c>
      <c r="BI86" s="62">
        <v>5</v>
      </c>
      <c r="BJ86" s="62">
        <v>20</v>
      </c>
      <c r="BK86" s="90">
        <f t="shared" si="3"/>
        <v>20</v>
      </c>
      <c r="BL86" s="83">
        <v>20</v>
      </c>
      <c r="BM86" s="52" t="s">
        <v>591</v>
      </c>
      <c r="BO86" s="99">
        <v>24</v>
      </c>
      <c r="BP86" s="99">
        <v>0</v>
      </c>
      <c r="CD86" s="51" t="s">
        <v>563</v>
      </c>
      <c r="CE86" s="47" t="s">
        <v>452</v>
      </c>
      <c r="CF86" s="70">
        <v>0.96699999999999997</v>
      </c>
      <c r="CH86" s="47" t="s">
        <v>589</v>
      </c>
      <c r="CK86" s="52" t="s">
        <v>591</v>
      </c>
    </row>
    <row r="87" spans="1:89" ht="17" customHeight="1">
      <c r="A87" s="23">
        <v>84</v>
      </c>
      <c r="B87" s="23" t="s">
        <v>205</v>
      </c>
      <c r="C87" s="20">
        <v>16.2</v>
      </c>
      <c r="D87" s="22">
        <v>11</v>
      </c>
      <c r="E87" s="22" t="s">
        <v>429</v>
      </c>
      <c r="F87" s="20">
        <v>16.2</v>
      </c>
      <c r="G87" s="22">
        <v>46924</v>
      </c>
      <c r="H87" s="20">
        <v>16.2</v>
      </c>
      <c r="I87" s="20" t="s">
        <v>230</v>
      </c>
      <c r="J87" s="119" t="s">
        <v>478</v>
      </c>
      <c r="K87" s="139">
        <v>0.1333</v>
      </c>
      <c r="R87" s="81">
        <v>4</v>
      </c>
      <c r="S87" s="81">
        <v>9</v>
      </c>
      <c r="T87" s="82">
        <v>18.5</v>
      </c>
      <c r="U87" s="83">
        <v>18.5</v>
      </c>
      <c r="V87" s="20" t="s">
        <v>229</v>
      </c>
      <c r="W87" s="19" t="s">
        <v>224</v>
      </c>
      <c r="X87" s="23" t="s">
        <v>364</v>
      </c>
      <c r="Y87" s="23" t="s">
        <v>453</v>
      </c>
      <c r="Z87" s="36"/>
      <c r="AC87" s="47" t="s">
        <v>453</v>
      </c>
      <c r="AF87" s="69"/>
      <c r="AM87" s="139">
        <v>0.1333</v>
      </c>
      <c r="AN87" s="52">
        <v>4</v>
      </c>
      <c r="AO87" s="52">
        <v>9</v>
      </c>
      <c r="AP87" s="52" t="s">
        <v>453</v>
      </c>
      <c r="AQ87" s="105">
        <v>4</v>
      </c>
      <c r="AR87" s="106">
        <v>4.75</v>
      </c>
      <c r="AS87" s="106">
        <v>4.75</v>
      </c>
      <c r="AT87" s="106">
        <v>5</v>
      </c>
      <c r="AU87" s="106">
        <v>18.5</v>
      </c>
      <c r="AV87" s="89">
        <f t="shared" si="2"/>
        <v>18.5</v>
      </c>
      <c r="AW87" s="23" t="s">
        <v>453</v>
      </c>
      <c r="AX87" s="82">
        <v>18.5</v>
      </c>
      <c r="AZ87" s="20">
        <v>16.2</v>
      </c>
      <c r="BA87" s="22">
        <v>46924</v>
      </c>
      <c r="BB87" s="20" t="s">
        <v>230</v>
      </c>
      <c r="BC87" s="19" t="s">
        <v>224</v>
      </c>
      <c r="BE87" s="62" t="s">
        <v>453</v>
      </c>
      <c r="BF87" s="62">
        <v>5</v>
      </c>
      <c r="BG87" s="62">
        <v>4.5</v>
      </c>
      <c r="BH87" s="62">
        <v>4.5</v>
      </c>
      <c r="BI87" s="62">
        <v>4.5</v>
      </c>
      <c r="BJ87" s="62">
        <v>18.5</v>
      </c>
      <c r="BK87" s="90">
        <f t="shared" si="3"/>
        <v>18.5</v>
      </c>
      <c r="BL87" s="83">
        <v>18.5</v>
      </c>
      <c r="BM87" s="52" t="s">
        <v>591</v>
      </c>
      <c r="BO87" s="99">
        <v>6</v>
      </c>
      <c r="BP87" s="99">
        <v>0</v>
      </c>
      <c r="CD87" s="51" t="s">
        <v>564</v>
      </c>
      <c r="CE87" s="47" t="s">
        <v>453</v>
      </c>
      <c r="CK87" s="52" t="s">
        <v>591</v>
      </c>
    </row>
    <row r="88" spans="1:89" ht="17" customHeight="1">
      <c r="A88" s="23">
        <v>85</v>
      </c>
      <c r="B88" s="23" t="s">
        <v>205</v>
      </c>
      <c r="C88" s="20">
        <v>16.2</v>
      </c>
      <c r="D88" s="22">
        <v>12</v>
      </c>
      <c r="E88" s="22" t="s">
        <v>430</v>
      </c>
      <c r="F88" s="20">
        <v>16.2</v>
      </c>
      <c r="G88" s="22">
        <v>46930</v>
      </c>
      <c r="H88" s="20">
        <v>16.2</v>
      </c>
      <c r="I88" s="20" t="s">
        <v>225</v>
      </c>
      <c r="J88" s="116">
        <v>0.53300000000000003</v>
      </c>
      <c r="K88" s="139">
        <v>0.9667</v>
      </c>
      <c r="L88" s="114"/>
      <c r="M88" s="114"/>
      <c r="N88" s="114"/>
      <c r="O88" s="114"/>
      <c r="P88" s="114"/>
      <c r="Q88" s="114"/>
      <c r="R88" s="81">
        <v>19</v>
      </c>
      <c r="S88" s="81">
        <v>20</v>
      </c>
      <c r="T88" s="82">
        <v>19</v>
      </c>
      <c r="U88" s="83">
        <v>19</v>
      </c>
      <c r="V88" s="20" t="s">
        <v>373</v>
      </c>
      <c r="W88" s="19" t="s">
        <v>225</v>
      </c>
      <c r="X88" s="23" t="s">
        <v>225</v>
      </c>
      <c r="Y88" s="23" t="s">
        <v>440</v>
      </c>
      <c r="Z88" s="23">
        <v>-14</v>
      </c>
      <c r="AA88" s="47">
        <v>16</v>
      </c>
      <c r="AB88" s="70">
        <v>0.53300000000000003</v>
      </c>
      <c r="AC88" s="47" t="s">
        <v>440</v>
      </c>
      <c r="AF88" s="69"/>
      <c r="AG88" s="72"/>
      <c r="AK88" s="96"/>
      <c r="AL88" s="70">
        <v>0.53300000000000003</v>
      </c>
      <c r="AM88" s="139">
        <v>0.9667</v>
      </c>
      <c r="AN88" s="52">
        <v>19</v>
      </c>
      <c r="AO88" s="52">
        <v>20</v>
      </c>
      <c r="AP88" s="52" t="s">
        <v>440</v>
      </c>
      <c r="AQ88" s="105">
        <v>4.25</v>
      </c>
      <c r="AR88" s="106">
        <v>5</v>
      </c>
      <c r="AS88" s="106">
        <v>4.75</v>
      </c>
      <c r="AT88" s="106">
        <v>5</v>
      </c>
      <c r="AU88" s="106">
        <v>19</v>
      </c>
      <c r="AV88" s="89">
        <f t="shared" si="2"/>
        <v>19</v>
      </c>
      <c r="AW88" s="23" t="s">
        <v>440</v>
      </c>
      <c r="AX88" s="82">
        <v>19</v>
      </c>
      <c r="AZ88" s="20">
        <v>16.2</v>
      </c>
      <c r="BA88" s="22">
        <v>46930</v>
      </c>
      <c r="BB88" s="20" t="s">
        <v>225</v>
      </c>
      <c r="BC88" s="19" t="s">
        <v>225</v>
      </c>
      <c r="BE88" s="62" t="s">
        <v>440</v>
      </c>
      <c r="BF88" s="62">
        <v>5</v>
      </c>
      <c r="BG88" s="62">
        <v>5</v>
      </c>
      <c r="BH88" s="62">
        <v>4.5</v>
      </c>
      <c r="BI88" s="62">
        <v>4.5</v>
      </c>
      <c r="BJ88" s="62">
        <v>19</v>
      </c>
      <c r="BK88" s="90">
        <f t="shared" si="3"/>
        <v>19</v>
      </c>
      <c r="BL88" s="83">
        <v>19</v>
      </c>
      <c r="BM88" s="52" t="s">
        <v>592</v>
      </c>
      <c r="BO88" s="99">
        <v>30</v>
      </c>
      <c r="BP88" s="99">
        <v>0</v>
      </c>
      <c r="CD88" s="51" t="s">
        <v>565</v>
      </c>
      <c r="CE88" s="47" t="s">
        <v>440</v>
      </c>
      <c r="CF88" s="70">
        <v>0.53300000000000003</v>
      </c>
      <c r="CH88" s="47" t="s">
        <v>589</v>
      </c>
      <c r="CK88" s="52" t="s">
        <v>624</v>
      </c>
    </row>
    <row r="89" spans="1:89" s="57" customFormat="1" ht="17" customHeight="1">
      <c r="A89" s="54">
        <v>86</v>
      </c>
      <c r="B89" s="54"/>
      <c r="C89" s="54"/>
      <c r="D89" s="55"/>
      <c r="E89" s="55" t="s">
        <v>413</v>
      </c>
      <c r="F89" s="54">
        <v>0</v>
      </c>
      <c r="G89" s="55">
        <v>55555</v>
      </c>
      <c r="H89" s="54">
        <v>0</v>
      </c>
      <c r="I89" s="54" t="s">
        <v>412</v>
      </c>
      <c r="J89" s="119" t="s">
        <v>478</v>
      </c>
      <c r="K89" s="139">
        <v>0</v>
      </c>
      <c r="L89" s="113"/>
      <c r="M89" s="113"/>
      <c r="N89" s="113"/>
      <c r="O89" s="113"/>
      <c r="P89" s="113"/>
      <c r="Q89" s="113"/>
      <c r="R89" s="81"/>
      <c r="S89" s="81"/>
      <c r="V89" s="54" t="s">
        <v>416</v>
      </c>
      <c r="W89" s="55"/>
      <c r="X89" s="54"/>
      <c r="Y89" s="54" t="s">
        <v>454</v>
      </c>
      <c r="Z89" s="54"/>
      <c r="AA89" s="73"/>
      <c r="AB89" s="73"/>
      <c r="AC89" s="73" t="s">
        <v>454</v>
      </c>
      <c r="AD89" s="73"/>
      <c r="AE89" s="73"/>
      <c r="AF89" s="54"/>
      <c r="AG89" s="73"/>
      <c r="AL89" s="73"/>
      <c r="AM89" s="139">
        <v>0</v>
      </c>
      <c r="AP89" s="57" t="s">
        <v>454</v>
      </c>
      <c r="AQ89" s="107"/>
      <c r="AR89" s="93"/>
      <c r="AS89" s="93"/>
      <c r="AT89" s="93"/>
      <c r="AU89" s="93"/>
      <c r="AV89" s="93">
        <f t="shared" si="2"/>
        <v>0</v>
      </c>
      <c r="AW89" s="54" t="s">
        <v>454</v>
      </c>
      <c r="AZ89" s="54">
        <v>0</v>
      </c>
      <c r="BA89" s="55">
        <v>55555</v>
      </c>
      <c r="BB89" s="54" t="s">
        <v>412</v>
      </c>
      <c r="BC89" s="55"/>
      <c r="BE89" s="104" t="s">
        <v>454</v>
      </c>
      <c r="BF89" s="99"/>
      <c r="BG89" s="99"/>
      <c r="BH89" s="99"/>
      <c r="BI89" s="99"/>
      <c r="BJ89" s="99"/>
      <c r="BK89" s="93">
        <f t="shared" si="3"/>
        <v>0</v>
      </c>
      <c r="BM89" s="57" t="s">
        <v>591</v>
      </c>
      <c r="BO89" s="99"/>
      <c r="BP89" s="99">
        <v>0</v>
      </c>
      <c r="CD89" s="56" t="s">
        <v>506</v>
      </c>
      <c r="CE89" s="73" t="s">
        <v>454</v>
      </c>
      <c r="CK89" s="57" t="s">
        <v>591</v>
      </c>
    </row>
    <row r="90" spans="1:89" ht="17" customHeight="1">
      <c r="A90" s="23">
        <v>87</v>
      </c>
      <c r="B90" s="23" t="s">
        <v>205</v>
      </c>
      <c r="C90" s="20">
        <v>16.2</v>
      </c>
      <c r="D90" s="22">
        <v>13</v>
      </c>
      <c r="E90" s="22" t="s">
        <v>414</v>
      </c>
      <c r="F90" s="20">
        <v>16.2</v>
      </c>
      <c r="G90" s="22">
        <v>46934</v>
      </c>
      <c r="H90" s="20">
        <v>16.2</v>
      </c>
      <c r="I90" s="20" t="s">
        <v>374</v>
      </c>
      <c r="J90" s="116">
        <v>0.96699999999999997</v>
      </c>
      <c r="K90" s="139">
        <v>0.9667</v>
      </c>
      <c r="L90" s="114"/>
      <c r="M90" s="114"/>
      <c r="N90" s="114"/>
      <c r="O90" s="114"/>
      <c r="P90" s="114"/>
      <c r="Q90" s="114"/>
      <c r="R90" s="92" t="s">
        <v>597</v>
      </c>
      <c r="S90" s="81">
        <v>16</v>
      </c>
      <c r="T90" s="82">
        <v>19.5</v>
      </c>
      <c r="U90" s="83">
        <v>19.5</v>
      </c>
      <c r="V90" s="20" t="s">
        <v>228</v>
      </c>
      <c r="W90" s="19" t="s">
        <v>226</v>
      </c>
      <c r="X90" s="23" t="s">
        <v>366</v>
      </c>
      <c r="Y90" s="23" t="s">
        <v>445</v>
      </c>
      <c r="Z90" s="23">
        <v>-1</v>
      </c>
      <c r="AA90" s="47">
        <v>29</v>
      </c>
      <c r="AB90" s="70">
        <v>0.96699999999999997</v>
      </c>
      <c r="AC90" s="47" t="s">
        <v>445</v>
      </c>
      <c r="AF90" s="69"/>
      <c r="AG90" s="72"/>
      <c r="AK90" s="96"/>
      <c r="AL90" s="70">
        <v>0.96699999999999997</v>
      </c>
      <c r="AM90" s="139">
        <v>0.9667</v>
      </c>
      <c r="AN90" s="92" t="s">
        <v>600</v>
      </c>
      <c r="AO90" s="52">
        <v>16</v>
      </c>
      <c r="AP90" s="52" t="s">
        <v>445</v>
      </c>
      <c r="AQ90" s="105">
        <v>4.5</v>
      </c>
      <c r="AR90" s="106">
        <v>5</v>
      </c>
      <c r="AS90" s="106">
        <v>5</v>
      </c>
      <c r="AT90" s="106">
        <v>5</v>
      </c>
      <c r="AU90" s="106">
        <v>19.5</v>
      </c>
      <c r="AV90" s="89">
        <f t="shared" si="2"/>
        <v>19.5</v>
      </c>
      <c r="AW90" s="23" t="s">
        <v>445</v>
      </c>
      <c r="AX90" s="82">
        <v>19.5</v>
      </c>
      <c r="AZ90" s="20">
        <v>16.2</v>
      </c>
      <c r="BA90" s="22">
        <v>46934</v>
      </c>
      <c r="BB90" s="20" t="s">
        <v>374</v>
      </c>
      <c r="BC90" s="19" t="s">
        <v>226</v>
      </c>
      <c r="BE90" s="62" t="s">
        <v>445</v>
      </c>
      <c r="BF90" s="62">
        <v>5</v>
      </c>
      <c r="BG90" s="62">
        <v>5</v>
      </c>
      <c r="BH90" s="62">
        <v>5</v>
      </c>
      <c r="BI90" s="62">
        <v>4.5</v>
      </c>
      <c r="BJ90" s="62">
        <v>19.5</v>
      </c>
      <c r="BK90" s="90">
        <f t="shared" si="3"/>
        <v>19.5</v>
      </c>
      <c r="BL90" s="83">
        <v>19.5</v>
      </c>
      <c r="BM90" s="52" t="s">
        <v>591</v>
      </c>
      <c r="BO90" s="143"/>
      <c r="BP90" s="99">
        <v>0</v>
      </c>
      <c r="CD90" s="51" t="s">
        <v>566</v>
      </c>
      <c r="CE90" s="47" t="s">
        <v>445</v>
      </c>
      <c r="CF90" s="70">
        <v>0.96699999999999997</v>
      </c>
      <c r="CH90" s="47" t="s">
        <v>589</v>
      </c>
      <c r="CK90" s="52" t="s">
        <v>591</v>
      </c>
    </row>
    <row r="91" spans="1:89" ht="17" customHeight="1">
      <c r="A91" s="23">
        <v>88</v>
      </c>
      <c r="B91" s="23" t="s">
        <v>205</v>
      </c>
      <c r="C91" s="20">
        <v>16.2</v>
      </c>
      <c r="D91" s="22">
        <v>14</v>
      </c>
      <c r="E91" s="23" t="s">
        <v>415</v>
      </c>
      <c r="F91" s="20">
        <v>16.2</v>
      </c>
      <c r="G91" s="22">
        <v>46939</v>
      </c>
      <c r="H91" s="20">
        <v>16.2</v>
      </c>
      <c r="I91" s="29" t="s">
        <v>375</v>
      </c>
      <c r="J91" s="119" t="s">
        <v>478</v>
      </c>
      <c r="K91" s="139">
        <v>0.93330000000000002</v>
      </c>
      <c r="L91" s="114"/>
      <c r="M91" s="114"/>
      <c r="N91" s="114"/>
      <c r="O91" s="114"/>
      <c r="P91" s="114"/>
      <c r="Q91" s="114"/>
      <c r="R91" s="81">
        <v>19</v>
      </c>
      <c r="S91" s="81">
        <v>20</v>
      </c>
      <c r="T91" s="82">
        <v>19</v>
      </c>
      <c r="U91" s="83">
        <v>19</v>
      </c>
      <c r="V91" s="20" t="s">
        <v>376</v>
      </c>
      <c r="W91" s="19" t="s">
        <v>227</v>
      </c>
      <c r="X91" s="23" t="s">
        <v>227</v>
      </c>
      <c r="Y91" s="23" t="s">
        <v>455</v>
      </c>
      <c r="Z91" s="23" t="e">
        <f>-G192+#REF!</f>
        <v>#REF!</v>
      </c>
      <c r="AA91" s="47">
        <v>0</v>
      </c>
      <c r="AB91" s="70">
        <v>0</v>
      </c>
      <c r="AC91" s="47" t="s">
        <v>455</v>
      </c>
      <c r="AF91" s="69"/>
      <c r="AG91" s="72"/>
      <c r="AK91" s="96"/>
      <c r="AL91" s="70">
        <v>0</v>
      </c>
      <c r="AM91" s="139">
        <v>0.93330000000000002</v>
      </c>
      <c r="AN91" s="52">
        <v>19</v>
      </c>
      <c r="AO91" s="52">
        <v>20</v>
      </c>
      <c r="AP91" s="52" t="s">
        <v>455</v>
      </c>
      <c r="AQ91" s="105">
        <v>4.25</v>
      </c>
      <c r="AR91" s="106">
        <v>5</v>
      </c>
      <c r="AS91" s="106">
        <v>4.75</v>
      </c>
      <c r="AT91" s="106">
        <v>5</v>
      </c>
      <c r="AU91" s="106">
        <v>19</v>
      </c>
      <c r="AV91" s="89">
        <f t="shared" si="2"/>
        <v>19</v>
      </c>
      <c r="AW91" s="23" t="s">
        <v>455</v>
      </c>
      <c r="AX91" s="82">
        <v>19</v>
      </c>
      <c r="AZ91" s="20">
        <v>16.2</v>
      </c>
      <c r="BA91" s="22">
        <v>46939</v>
      </c>
      <c r="BB91" s="29" t="s">
        <v>375</v>
      </c>
      <c r="BC91" s="19" t="s">
        <v>227</v>
      </c>
      <c r="BE91" s="62" t="s">
        <v>455</v>
      </c>
      <c r="BF91" s="62">
        <v>5</v>
      </c>
      <c r="BG91" s="62">
        <v>5</v>
      </c>
      <c r="BH91" s="62">
        <v>4.5</v>
      </c>
      <c r="BI91" s="62">
        <v>4.5</v>
      </c>
      <c r="BJ91" s="62">
        <v>19</v>
      </c>
      <c r="BK91" s="90">
        <f t="shared" si="3"/>
        <v>19</v>
      </c>
      <c r="BL91" s="83">
        <v>19</v>
      </c>
      <c r="BM91" s="52" t="s">
        <v>591</v>
      </c>
      <c r="BO91" s="99">
        <v>26</v>
      </c>
      <c r="BP91" s="99">
        <v>0</v>
      </c>
      <c r="CD91" s="51" t="s">
        <v>567</v>
      </c>
      <c r="CE91" s="47" t="s">
        <v>455</v>
      </c>
      <c r="CF91" s="70">
        <v>0</v>
      </c>
      <c r="CH91" s="47" t="s">
        <v>589</v>
      </c>
      <c r="CK91" s="52" t="s">
        <v>591</v>
      </c>
    </row>
    <row r="92" spans="1:89" ht="17" customHeight="1">
      <c r="A92" s="23">
        <v>89</v>
      </c>
      <c r="B92" s="23">
        <v>71</v>
      </c>
      <c r="C92" s="23"/>
      <c r="D92" s="23"/>
      <c r="E92" s="23" t="s">
        <v>473</v>
      </c>
      <c r="F92" s="20">
        <v>16.2</v>
      </c>
      <c r="G92" s="23">
        <v>47124</v>
      </c>
      <c r="H92" s="20">
        <v>16.2</v>
      </c>
      <c r="I92" s="23" t="s">
        <v>436</v>
      </c>
      <c r="J92" s="119" t="s">
        <v>478</v>
      </c>
      <c r="K92" s="139">
        <v>1</v>
      </c>
      <c r="R92" s="81">
        <v>20</v>
      </c>
      <c r="S92" s="81">
        <v>20</v>
      </c>
      <c r="T92" s="82">
        <v>20</v>
      </c>
      <c r="U92" s="83">
        <v>20</v>
      </c>
      <c r="V92" s="80" t="s">
        <v>437</v>
      </c>
      <c r="W92" s="23" t="s">
        <v>438</v>
      </c>
      <c r="X92" s="20"/>
      <c r="Y92" s="20" t="s">
        <v>456</v>
      </c>
      <c r="Z92" s="23"/>
      <c r="AC92" s="47" t="s">
        <v>456</v>
      </c>
      <c r="AF92" s="69"/>
      <c r="AM92" s="139">
        <v>1</v>
      </c>
      <c r="AN92" s="52">
        <v>20</v>
      </c>
      <c r="AO92" s="52">
        <v>20</v>
      </c>
      <c r="AP92" s="52" t="s">
        <v>456</v>
      </c>
      <c r="AQ92" s="105">
        <v>5</v>
      </c>
      <c r="AR92" s="106">
        <v>5</v>
      </c>
      <c r="AS92" s="106">
        <v>5</v>
      </c>
      <c r="AT92" s="106">
        <v>5</v>
      </c>
      <c r="AU92" s="106">
        <v>20</v>
      </c>
      <c r="AV92" s="89">
        <f t="shared" si="2"/>
        <v>20</v>
      </c>
      <c r="AW92" s="20" t="s">
        <v>456</v>
      </c>
      <c r="AX92" s="82">
        <v>20</v>
      </c>
      <c r="AZ92" s="20">
        <v>16.2</v>
      </c>
      <c r="BA92" s="23">
        <v>47124</v>
      </c>
      <c r="BB92" s="23" t="s">
        <v>436</v>
      </c>
      <c r="BC92" s="23" t="s">
        <v>438</v>
      </c>
      <c r="BE92" s="62" t="s">
        <v>456</v>
      </c>
      <c r="BF92" s="62">
        <v>5</v>
      </c>
      <c r="BG92" s="62">
        <v>5</v>
      </c>
      <c r="BH92" s="62">
        <v>5</v>
      </c>
      <c r="BI92" s="62">
        <v>5</v>
      </c>
      <c r="BJ92" s="62">
        <v>20</v>
      </c>
      <c r="BK92" s="90">
        <f t="shared" si="3"/>
        <v>20</v>
      </c>
      <c r="BL92" s="83">
        <v>20</v>
      </c>
      <c r="BM92" s="52" t="s">
        <v>591</v>
      </c>
      <c r="BO92" s="99">
        <v>30</v>
      </c>
      <c r="BP92" s="99">
        <v>0</v>
      </c>
      <c r="CD92" s="51" t="s">
        <v>568</v>
      </c>
      <c r="CE92" s="47" t="s">
        <v>456</v>
      </c>
      <c r="CK92" s="52" t="s">
        <v>591</v>
      </c>
    </row>
    <row r="93" spans="1:89" ht="17" customHeight="1">
      <c r="BF93" s="108"/>
      <c r="BG93" s="109"/>
      <c r="BH93" s="109"/>
      <c r="BI93" s="109"/>
      <c r="CE93" s="47" t="s">
        <v>590</v>
      </c>
    </row>
    <row r="94" spans="1:89" ht="17" customHeight="1">
      <c r="BF94" s="108"/>
      <c r="BG94" s="109"/>
      <c r="BH94" s="109"/>
      <c r="BI94" s="109"/>
    </row>
    <row r="95" spans="1:89" ht="17" customHeight="1">
      <c r="BF95" s="108"/>
      <c r="BG95" s="109"/>
      <c r="BH95" s="109"/>
      <c r="BI95" s="109"/>
    </row>
    <row r="96" spans="1:89" ht="17" customHeight="1">
      <c r="BF96" s="108"/>
      <c r="BG96" s="109"/>
      <c r="BH96" s="109"/>
      <c r="BI96" s="109"/>
    </row>
    <row r="97" spans="58:61" ht="17" customHeight="1">
      <c r="BF97" s="108"/>
      <c r="BG97" s="109"/>
      <c r="BH97" s="109"/>
      <c r="BI97" s="109"/>
    </row>
    <row r="98" spans="58:61" ht="17" customHeight="1">
      <c r="BF98" s="108"/>
      <c r="BG98" s="109"/>
      <c r="BH98" s="109"/>
      <c r="BI98" s="10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4F1A-82D8-4FDF-A21B-B75025985BE5}">
  <dimension ref="A1:N92"/>
  <sheetViews>
    <sheetView topLeftCell="A78" workbookViewId="0">
      <selection activeCell="D80" sqref="D80"/>
    </sheetView>
  </sheetViews>
  <sheetFormatPr defaultRowHeight="14.5"/>
  <cols>
    <col min="1" max="3" width="10.26953125" style="47" customWidth="1"/>
    <col min="4" max="4" width="10.26953125" style="52" customWidth="1"/>
    <col min="5" max="6" width="10.26953125" style="81" customWidth="1"/>
    <col min="7" max="7" width="10.26953125" style="82" customWidth="1"/>
    <col min="8" max="8" width="10.26953125" style="83" customWidth="1"/>
    <col min="9" max="10" width="10.26953125" style="52" customWidth="1"/>
    <col min="13" max="13" width="12.6328125" customWidth="1"/>
    <col min="14" max="14" width="12.08984375" customWidth="1"/>
  </cols>
  <sheetData>
    <row r="1" spans="1:14" ht="43.5">
      <c r="A1" s="20">
        <v>11.1</v>
      </c>
      <c r="B1" s="20">
        <v>11.1</v>
      </c>
      <c r="C1" s="20" t="s">
        <v>466</v>
      </c>
      <c r="D1" s="52" t="s">
        <v>479</v>
      </c>
      <c r="E1" s="81" t="s">
        <v>597</v>
      </c>
      <c r="F1" s="81" t="s">
        <v>598</v>
      </c>
      <c r="G1" s="82" t="s">
        <v>615</v>
      </c>
      <c r="H1" s="83" t="s">
        <v>616</v>
      </c>
      <c r="I1" s="52" t="s">
        <v>482</v>
      </c>
      <c r="J1" s="52" t="s">
        <v>483</v>
      </c>
      <c r="K1" s="81" t="s">
        <v>634</v>
      </c>
      <c r="L1" s="81" t="s">
        <v>635</v>
      </c>
      <c r="M1" s="82" t="s">
        <v>615</v>
      </c>
      <c r="N1" s="83" t="s">
        <v>616</v>
      </c>
    </row>
    <row r="2" spans="1:14">
      <c r="A2" s="20">
        <v>11.1</v>
      </c>
      <c r="B2" s="23" t="s">
        <v>234</v>
      </c>
      <c r="C2" s="47">
        <v>28</v>
      </c>
      <c r="D2" s="52">
        <v>20</v>
      </c>
      <c r="E2" s="81">
        <v>15</v>
      </c>
      <c r="F2" s="81">
        <v>19</v>
      </c>
      <c r="G2" s="82">
        <v>20</v>
      </c>
      <c r="H2" s="83">
        <v>20</v>
      </c>
    </row>
    <row r="3" spans="1:14">
      <c r="A3" s="20">
        <v>11.1</v>
      </c>
      <c r="B3" s="23" t="s">
        <v>236</v>
      </c>
      <c r="C3" s="47">
        <v>21</v>
      </c>
      <c r="D3" s="52">
        <v>19</v>
      </c>
      <c r="E3" s="81">
        <v>14</v>
      </c>
      <c r="F3" s="81">
        <v>18</v>
      </c>
      <c r="G3" s="82">
        <v>19.5</v>
      </c>
      <c r="H3" s="83">
        <v>19.5</v>
      </c>
    </row>
    <row r="4" spans="1:14">
      <c r="A4" s="20">
        <v>11.1</v>
      </c>
      <c r="B4" s="23" t="s">
        <v>238</v>
      </c>
      <c r="C4" s="47">
        <v>26</v>
      </c>
      <c r="D4" s="52">
        <v>23</v>
      </c>
      <c r="E4" s="81">
        <v>17</v>
      </c>
      <c r="F4" s="81">
        <v>17</v>
      </c>
      <c r="G4" s="82">
        <v>19.5</v>
      </c>
      <c r="H4" s="83">
        <v>19.5</v>
      </c>
    </row>
    <row r="5" spans="1:14">
      <c r="A5" s="20">
        <v>11.1</v>
      </c>
      <c r="B5" s="23" t="s">
        <v>240</v>
      </c>
      <c r="C5" s="47">
        <v>30</v>
      </c>
      <c r="D5" s="52">
        <v>30</v>
      </c>
      <c r="E5" s="81">
        <v>20</v>
      </c>
      <c r="F5" s="81">
        <v>20</v>
      </c>
      <c r="G5" s="82">
        <v>20</v>
      </c>
      <c r="H5" s="83">
        <v>20</v>
      </c>
    </row>
    <row r="6" spans="1:14" ht="29">
      <c r="A6" s="54">
        <v>0</v>
      </c>
      <c r="B6" s="54" t="s">
        <v>412</v>
      </c>
      <c r="C6" s="73"/>
      <c r="D6" s="57"/>
      <c r="G6" s="57"/>
      <c r="H6" s="57"/>
    </row>
    <row r="7" spans="1:14" ht="29">
      <c r="A7" s="20">
        <v>11.1</v>
      </c>
      <c r="B7" s="23" t="s">
        <v>242</v>
      </c>
      <c r="C7" s="47">
        <v>23</v>
      </c>
      <c r="D7" s="52">
        <v>16</v>
      </c>
      <c r="E7" s="81">
        <v>18</v>
      </c>
      <c r="F7" s="81">
        <v>18</v>
      </c>
      <c r="G7" s="82">
        <v>19.5</v>
      </c>
      <c r="H7" s="83">
        <v>19.5</v>
      </c>
    </row>
    <row r="8" spans="1:14">
      <c r="A8" s="20">
        <v>11.1</v>
      </c>
      <c r="B8" s="23" t="s">
        <v>244</v>
      </c>
      <c r="C8" s="47">
        <v>30</v>
      </c>
      <c r="D8" s="52">
        <v>29</v>
      </c>
      <c r="E8" s="81">
        <v>19</v>
      </c>
      <c r="F8" s="81">
        <v>19</v>
      </c>
      <c r="G8" s="82">
        <v>20</v>
      </c>
      <c r="H8" s="83">
        <v>20</v>
      </c>
    </row>
    <row r="9" spans="1:14">
      <c r="A9" s="20">
        <v>11.1</v>
      </c>
      <c r="B9" s="23" t="s">
        <v>246</v>
      </c>
      <c r="C9" s="47">
        <v>28</v>
      </c>
      <c r="D9" s="52">
        <v>28</v>
      </c>
      <c r="E9" s="81">
        <v>20</v>
      </c>
      <c r="F9" s="81">
        <v>18</v>
      </c>
      <c r="G9" s="82">
        <v>20</v>
      </c>
      <c r="H9" s="83">
        <v>20</v>
      </c>
    </row>
    <row r="10" spans="1:14">
      <c r="A10" s="20">
        <v>11.1</v>
      </c>
      <c r="B10" s="23" t="s">
        <v>248</v>
      </c>
      <c r="D10" s="52">
        <v>20</v>
      </c>
      <c r="E10" s="81">
        <v>19</v>
      </c>
      <c r="F10" s="81">
        <v>18</v>
      </c>
      <c r="G10" s="82">
        <v>19.5</v>
      </c>
      <c r="H10" s="83">
        <v>19.5</v>
      </c>
    </row>
    <row r="11" spans="1:14" ht="29">
      <c r="A11" s="20">
        <v>11.1</v>
      </c>
      <c r="B11" s="23" t="s">
        <v>250</v>
      </c>
      <c r="C11" s="47">
        <v>20</v>
      </c>
      <c r="D11" s="52">
        <v>19</v>
      </c>
      <c r="E11" s="81">
        <v>16</v>
      </c>
      <c r="F11" s="81">
        <v>17</v>
      </c>
      <c r="G11" s="82">
        <v>19.5</v>
      </c>
      <c r="H11" s="83">
        <v>19.5</v>
      </c>
    </row>
    <row r="12" spans="1:14">
      <c r="A12" s="20">
        <v>11.1</v>
      </c>
      <c r="B12" s="23" t="s">
        <v>252</v>
      </c>
      <c r="C12" s="47">
        <v>30</v>
      </c>
      <c r="D12" s="52">
        <v>30</v>
      </c>
      <c r="E12" s="81">
        <v>20</v>
      </c>
      <c r="F12" s="81">
        <v>18</v>
      </c>
      <c r="G12" s="82">
        <v>20</v>
      </c>
      <c r="H12" s="83">
        <v>20</v>
      </c>
    </row>
    <row r="13" spans="1:14" ht="29">
      <c r="A13" s="20">
        <v>11.1</v>
      </c>
      <c r="B13" s="23" t="s">
        <v>254</v>
      </c>
      <c r="C13" s="47">
        <v>29</v>
      </c>
      <c r="D13" s="52">
        <v>30</v>
      </c>
      <c r="E13" s="81">
        <v>20</v>
      </c>
      <c r="F13" s="81">
        <v>20</v>
      </c>
      <c r="G13" s="82">
        <v>20</v>
      </c>
      <c r="H13" s="83">
        <v>20</v>
      </c>
    </row>
    <row r="14" spans="1:14" ht="29">
      <c r="A14" s="20">
        <v>11.1</v>
      </c>
      <c r="B14" s="23" t="s">
        <v>256</v>
      </c>
      <c r="C14" s="47">
        <v>30</v>
      </c>
      <c r="D14" s="52">
        <v>22</v>
      </c>
      <c r="E14" s="81">
        <v>19</v>
      </c>
      <c r="F14" s="81">
        <v>20</v>
      </c>
      <c r="G14" s="82">
        <v>20</v>
      </c>
      <c r="H14" s="83">
        <v>20</v>
      </c>
    </row>
    <row r="15" spans="1:14">
      <c r="A15" s="20">
        <v>11.1</v>
      </c>
      <c r="B15" s="23" t="s">
        <v>258</v>
      </c>
      <c r="C15" s="47">
        <v>29</v>
      </c>
      <c r="D15" s="52">
        <v>28</v>
      </c>
      <c r="E15" s="81">
        <v>19</v>
      </c>
      <c r="F15" s="81">
        <v>18</v>
      </c>
      <c r="G15" s="82">
        <v>19.5</v>
      </c>
      <c r="H15" s="83">
        <v>19.5</v>
      </c>
    </row>
    <row r="16" spans="1:14" ht="29">
      <c r="A16" s="54">
        <v>0</v>
      </c>
      <c r="B16" s="54" t="s">
        <v>412</v>
      </c>
      <c r="C16" s="73"/>
      <c r="D16" s="57"/>
      <c r="G16" s="57"/>
      <c r="H16" s="57"/>
    </row>
    <row r="17" spans="1:8" ht="29">
      <c r="A17" s="20">
        <v>11.1</v>
      </c>
      <c r="B17" s="23" t="s">
        <v>260</v>
      </c>
      <c r="C17" s="47">
        <v>30</v>
      </c>
      <c r="D17" s="52">
        <v>23</v>
      </c>
      <c r="E17" s="81">
        <v>20</v>
      </c>
      <c r="F17" s="81">
        <v>20</v>
      </c>
      <c r="G17" s="82">
        <v>19.5</v>
      </c>
      <c r="H17" s="83">
        <v>19.5</v>
      </c>
    </row>
    <row r="18" spans="1:8">
      <c r="A18" s="54">
        <v>13.2</v>
      </c>
      <c r="B18" s="54">
        <v>13.2</v>
      </c>
      <c r="C18" s="73"/>
      <c r="D18" s="57"/>
      <c r="G18" s="57"/>
      <c r="H18" s="57"/>
    </row>
    <row r="19" spans="1:8">
      <c r="A19" s="20">
        <v>13.2</v>
      </c>
      <c r="B19" s="23" t="s">
        <v>262</v>
      </c>
      <c r="C19" s="47">
        <v>26</v>
      </c>
      <c r="D19" s="52">
        <v>20</v>
      </c>
      <c r="E19" s="81">
        <v>14</v>
      </c>
      <c r="F19" s="81">
        <v>14</v>
      </c>
      <c r="G19" s="82">
        <v>19.5</v>
      </c>
      <c r="H19" s="83">
        <v>19.5</v>
      </c>
    </row>
    <row r="20" spans="1:8">
      <c r="A20" s="20">
        <v>13.2</v>
      </c>
      <c r="B20" s="23" t="s">
        <v>264</v>
      </c>
      <c r="C20" s="47">
        <v>26</v>
      </c>
      <c r="D20" s="52">
        <v>18</v>
      </c>
      <c r="E20" s="81">
        <v>15</v>
      </c>
      <c r="F20" s="81">
        <v>16</v>
      </c>
      <c r="G20" s="82">
        <v>20</v>
      </c>
      <c r="H20" s="83">
        <v>20</v>
      </c>
    </row>
    <row r="21" spans="1:8">
      <c r="A21" s="20">
        <v>13.2</v>
      </c>
      <c r="B21" s="23" t="s">
        <v>266</v>
      </c>
      <c r="C21" s="47">
        <v>27</v>
      </c>
      <c r="D21" s="52">
        <v>26</v>
      </c>
      <c r="E21" s="81">
        <v>19</v>
      </c>
      <c r="F21" s="81">
        <v>18</v>
      </c>
      <c r="G21" s="82">
        <v>19.5</v>
      </c>
      <c r="H21" s="83">
        <v>19.5</v>
      </c>
    </row>
    <row r="22" spans="1:8">
      <c r="A22" s="20"/>
      <c r="B22" s="23" t="s">
        <v>432</v>
      </c>
      <c r="C22" s="47">
        <v>30</v>
      </c>
      <c r="D22" s="52">
        <v>28</v>
      </c>
      <c r="E22" s="81">
        <v>20</v>
      </c>
      <c r="F22" s="81">
        <v>20</v>
      </c>
      <c r="G22" s="82">
        <v>19.5</v>
      </c>
      <c r="H22" s="83">
        <v>19.5</v>
      </c>
    </row>
    <row r="23" spans="1:8">
      <c r="A23" s="20">
        <v>13.2</v>
      </c>
      <c r="B23" s="23" t="s">
        <v>268</v>
      </c>
      <c r="C23" s="47">
        <v>25</v>
      </c>
      <c r="D23" s="52">
        <v>23</v>
      </c>
      <c r="E23" s="81">
        <v>16</v>
      </c>
      <c r="F23" s="81">
        <v>18</v>
      </c>
      <c r="G23" s="82">
        <v>19</v>
      </c>
      <c r="H23" s="83">
        <v>19</v>
      </c>
    </row>
    <row r="24" spans="1:8" ht="29">
      <c r="A24" s="54">
        <v>0</v>
      </c>
      <c r="B24" s="54" t="s">
        <v>412</v>
      </c>
      <c r="C24" s="73"/>
      <c r="D24" s="57"/>
      <c r="G24" s="57"/>
      <c r="H24" s="57"/>
    </row>
    <row r="25" spans="1:8">
      <c r="A25" s="20">
        <v>13.2</v>
      </c>
      <c r="B25" s="23" t="s">
        <v>270</v>
      </c>
      <c r="C25" s="47">
        <v>30</v>
      </c>
      <c r="D25" s="52">
        <v>22</v>
      </c>
      <c r="E25" s="81">
        <v>14</v>
      </c>
      <c r="F25" s="81">
        <v>18</v>
      </c>
      <c r="G25" s="82">
        <v>19.5</v>
      </c>
      <c r="H25" s="83">
        <v>19.5</v>
      </c>
    </row>
    <row r="26" spans="1:8">
      <c r="A26" s="20">
        <v>13.2</v>
      </c>
      <c r="B26" s="23" t="s">
        <v>272</v>
      </c>
      <c r="C26" s="47">
        <v>24</v>
      </c>
      <c r="D26" s="52">
        <v>26</v>
      </c>
      <c r="E26" s="81">
        <v>17</v>
      </c>
      <c r="F26" s="81">
        <v>16</v>
      </c>
      <c r="G26" s="82">
        <v>19</v>
      </c>
      <c r="H26" s="83">
        <v>19</v>
      </c>
    </row>
    <row r="27" spans="1:8">
      <c r="A27" s="20">
        <v>13.2</v>
      </c>
      <c r="B27" s="23" t="s">
        <v>274</v>
      </c>
      <c r="C27" s="47">
        <v>30</v>
      </c>
      <c r="D27" s="52">
        <v>29</v>
      </c>
      <c r="E27" s="81">
        <v>20</v>
      </c>
      <c r="F27" s="81">
        <v>20</v>
      </c>
      <c r="G27" s="82">
        <v>20</v>
      </c>
      <c r="H27" s="83">
        <v>20</v>
      </c>
    </row>
    <row r="28" spans="1:8">
      <c r="A28" s="20">
        <v>13.2</v>
      </c>
      <c r="B28" s="23" t="s">
        <v>276</v>
      </c>
      <c r="C28" s="47">
        <v>30</v>
      </c>
      <c r="D28" s="52">
        <v>29</v>
      </c>
      <c r="E28" s="81">
        <v>20</v>
      </c>
      <c r="F28" s="81">
        <v>20</v>
      </c>
      <c r="G28" s="82">
        <v>20</v>
      </c>
      <c r="H28" s="83">
        <v>20</v>
      </c>
    </row>
    <row r="29" spans="1:8">
      <c r="A29" s="20">
        <v>13.2</v>
      </c>
      <c r="B29" s="23" t="s">
        <v>278</v>
      </c>
      <c r="C29" s="47">
        <v>30</v>
      </c>
      <c r="D29" s="52">
        <v>30</v>
      </c>
      <c r="E29" s="81">
        <v>19</v>
      </c>
      <c r="F29" s="81">
        <v>18</v>
      </c>
      <c r="G29" s="82">
        <v>20</v>
      </c>
      <c r="H29" s="83">
        <v>20</v>
      </c>
    </row>
    <row r="30" spans="1:8">
      <c r="A30" s="20">
        <v>13.2</v>
      </c>
      <c r="B30" s="23" t="s">
        <v>280</v>
      </c>
      <c r="C30" s="47">
        <v>26</v>
      </c>
      <c r="D30" s="52">
        <v>19</v>
      </c>
      <c r="E30" s="81">
        <v>17</v>
      </c>
      <c r="F30" s="81">
        <v>17</v>
      </c>
      <c r="G30" s="82">
        <v>19.5</v>
      </c>
      <c r="H30" s="83">
        <v>19.5</v>
      </c>
    </row>
    <row r="31" spans="1:8">
      <c r="A31" s="20">
        <v>13.2</v>
      </c>
      <c r="B31" s="23" t="s">
        <v>282</v>
      </c>
      <c r="C31" s="47">
        <v>26</v>
      </c>
      <c r="D31" s="52">
        <v>20</v>
      </c>
      <c r="E31" s="81">
        <v>16</v>
      </c>
      <c r="F31" s="81">
        <v>19</v>
      </c>
      <c r="G31" s="82">
        <v>19.5</v>
      </c>
      <c r="H31" s="83">
        <v>19.5</v>
      </c>
    </row>
    <row r="32" spans="1:8" ht="29">
      <c r="A32" s="20">
        <v>13.2</v>
      </c>
      <c r="B32" s="23" t="s">
        <v>284</v>
      </c>
      <c r="C32" s="47">
        <v>30</v>
      </c>
      <c r="D32" s="52">
        <v>29</v>
      </c>
      <c r="E32" s="81">
        <v>20</v>
      </c>
      <c r="F32" s="81">
        <v>20</v>
      </c>
      <c r="G32" s="82">
        <v>19.5</v>
      </c>
      <c r="H32" s="83">
        <v>19.5</v>
      </c>
    </row>
    <row r="33" spans="1:8">
      <c r="A33" s="20">
        <v>13.2</v>
      </c>
      <c r="B33" s="23" t="s">
        <v>286</v>
      </c>
      <c r="C33" s="47">
        <v>18</v>
      </c>
      <c r="D33" s="52">
        <v>15</v>
      </c>
      <c r="E33" s="81">
        <v>13</v>
      </c>
      <c r="F33" s="81">
        <v>15</v>
      </c>
      <c r="G33" s="82">
        <v>18.5</v>
      </c>
      <c r="H33" s="83">
        <v>18.5</v>
      </c>
    </row>
    <row r="34" spans="1:8" ht="29">
      <c r="A34" s="54">
        <v>0</v>
      </c>
      <c r="B34" s="54" t="s">
        <v>412</v>
      </c>
      <c r="C34" s="73"/>
      <c r="D34" s="57"/>
      <c r="E34" s="57"/>
      <c r="F34" s="57"/>
      <c r="G34" s="57"/>
      <c r="H34" s="57"/>
    </row>
    <row r="35" spans="1:8">
      <c r="A35" s="20">
        <v>13.2</v>
      </c>
      <c r="B35" s="23" t="s">
        <v>288</v>
      </c>
      <c r="C35" s="47">
        <v>22</v>
      </c>
      <c r="D35" s="52">
        <v>16</v>
      </c>
      <c r="E35" s="81">
        <v>11</v>
      </c>
      <c r="F35" s="81">
        <v>16</v>
      </c>
      <c r="G35" s="82">
        <v>19</v>
      </c>
      <c r="H35" s="83">
        <v>19</v>
      </c>
    </row>
    <row r="36" spans="1:8">
      <c r="A36" s="54">
        <v>14.1</v>
      </c>
      <c r="B36" s="54">
        <v>14.1</v>
      </c>
      <c r="C36" s="73"/>
      <c r="D36" s="57"/>
      <c r="E36" s="57"/>
      <c r="F36" s="57"/>
      <c r="G36" s="57"/>
      <c r="H36" s="57"/>
    </row>
    <row r="37" spans="1:8">
      <c r="A37" s="20">
        <v>14.1</v>
      </c>
      <c r="B37" s="23" t="s">
        <v>290</v>
      </c>
      <c r="C37" s="47">
        <v>4</v>
      </c>
      <c r="D37" s="52">
        <v>7</v>
      </c>
      <c r="E37" s="81">
        <v>5</v>
      </c>
      <c r="F37" s="81">
        <v>12</v>
      </c>
      <c r="G37" s="82">
        <v>17.5</v>
      </c>
      <c r="H37" s="83">
        <v>17.5</v>
      </c>
    </row>
    <row r="38" spans="1:8">
      <c r="A38" s="20">
        <v>14.1</v>
      </c>
      <c r="B38" s="23" t="s">
        <v>292</v>
      </c>
      <c r="C38" s="47">
        <v>29</v>
      </c>
      <c r="D38" s="52">
        <v>26</v>
      </c>
      <c r="E38" s="81">
        <v>19</v>
      </c>
      <c r="F38" s="81">
        <v>19</v>
      </c>
      <c r="G38" s="82">
        <v>19.5</v>
      </c>
      <c r="H38" s="83">
        <v>19.5</v>
      </c>
    </row>
    <row r="39" spans="1:8" ht="29">
      <c r="A39" s="20">
        <v>14.1</v>
      </c>
      <c r="B39" s="23" t="s">
        <v>294</v>
      </c>
      <c r="C39" s="47">
        <v>15</v>
      </c>
      <c r="D39" s="52">
        <v>18</v>
      </c>
      <c r="E39" s="81">
        <v>12</v>
      </c>
      <c r="F39" s="81">
        <v>15</v>
      </c>
      <c r="G39" s="82">
        <v>17</v>
      </c>
      <c r="H39" s="83">
        <v>17</v>
      </c>
    </row>
    <row r="40" spans="1:8" ht="29">
      <c r="A40" s="20">
        <v>14.1</v>
      </c>
      <c r="B40" s="23" t="s">
        <v>296</v>
      </c>
      <c r="C40" s="47">
        <v>22</v>
      </c>
      <c r="D40" s="52">
        <v>20</v>
      </c>
      <c r="E40" s="81">
        <v>13</v>
      </c>
      <c r="F40" s="81">
        <v>17</v>
      </c>
      <c r="G40" s="82">
        <v>18.5</v>
      </c>
      <c r="H40" s="83">
        <v>18.5</v>
      </c>
    </row>
    <row r="41" spans="1:8" ht="29">
      <c r="A41" s="54">
        <v>0</v>
      </c>
      <c r="B41" s="54" t="s">
        <v>412</v>
      </c>
      <c r="C41" s="73"/>
      <c r="D41" s="57"/>
      <c r="E41" s="57"/>
      <c r="F41" s="57"/>
      <c r="G41" s="57"/>
      <c r="H41" s="57"/>
    </row>
    <row r="42" spans="1:8">
      <c r="A42" s="20">
        <v>14.1</v>
      </c>
      <c r="B42" s="23" t="s">
        <v>298</v>
      </c>
      <c r="C42" s="47">
        <v>27</v>
      </c>
      <c r="D42" s="52">
        <v>22</v>
      </c>
      <c r="E42" s="81">
        <v>17</v>
      </c>
      <c r="F42" s="81">
        <v>20</v>
      </c>
      <c r="G42" s="82">
        <v>20</v>
      </c>
      <c r="H42" s="83">
        <v>20</v>
      </c>
    </row>
    <row r="43" spans="1:8" ht="29">
      <c r="A43" s="20">
        <v>14.1</v>
      </c>
      <c r="B43" s="23" t="s">
        <v>300</v>
      </c>
      <c r="D43" s="52">
        <v>23</v>
      </c>
      <c r="E43" s="81">
        <v>17</v>
      </c>
      <c r="F43" s="81">
        <v>17</v>
      </c>
      <c r="G43" s="121" t="s">
        <v>615</v>
      </c>
      <c r="H43" s="92" t="s">
        <v>616</v>
      </c>
    </row>
    <row r="44" spans="1:8">
      <c r="A44" s="23">
        <v>14.1</v>
      </c>
      <c r="B44" s="23" t="s">
        <v>302</v>
      </c>
      <c r="C44" s="47">
        <v>12</v>
      </c>
      <c r="D44" s="52">
        <v>13</v>
      </c>
      <c r="E44" s="81">
        <v>5</v>
      </c>
      <c r="F44" s="81">
        <v>13</v>
      </c>
      <c r="G44" s="121">
        <v>19</v>
      </c>
      <c r="H44" s="92">
        <v>19</v>
      </c>
    </row>
    <row r="45" spans="1:8" ht="29">
      <c r="A45" s="23">
        <v>14.1</v>
      </c>
      <c r="B45" s="23" t="s">
        <v>304</v>
      </c>
      <c r="C45" s="47">
        <v>23</v>
      </c>
      <c r="D45" s="52">
        <v>17</v>
      </c>
      <c r="E45" s="92" t="s">
        <v>597</v>
      </c>
      <c r="F45" s="92" t="s">
        <v>598</v>
      </c>
      <c r="G45" s="121" t="s">
        <v>615</v>
      </c>
      <c r="H45" s="92" t="s">
        <v>616</v>
      </c>
    </row>
    <row r="46" spans="1:8">
      <c r="A46" s="20">
        <v>14.1</v>
      </c>
      <c r="B46" s="23" t="s">
        <v>306</v>
      </c>
      <c r="C46" s="47">
        <v>28</v>
      </c>
      <c r="D46" s="52">
        <v>29</v>
      </c>
      <c r="E46" s="81">
        <v>20</v>
      </c>
      <c r="F46" s="81">
        <v>20</v>
      </c>
      <c r="G46" s="82">
        <v>19.5</v>
      </c>
      <c r="H46" s="83">
        <v>19.5</v>
      </c>
    </row>
    <row r="47" spans="1:8" ht="29">
      <c r="A47" s="20">
        <v>14.1</v>
      </c>
      <c r="B47" s="23" t="s">
        <v>217</v>
      </c>
      <c r="C47" s="47">
        <v>30</v>
      </c>
      <c r="D47" s="52">
        <v>30</v>
      </c>
      <c r="E47" s="81">
        <v>19</v>
      </c>
      <c r="F47" s="81">
        <v>20</v>
      </c>
      <c r="G47" s="82">
        <v>20</v>
      </c>
      <c r="H47" s="83">
        <v>20</v>
      </c>
    </row>
    <row r="48" spans="1:8">
      <c r="A48" s="20">
        <v>14.1</v>
      </c>
      <c r="B48" s="23" t="s">
        <v>309</v>
      </c>
      <c r="C48" s="47">
        <v>7</v>
      </c>
      <c r="D48" s="52">
        <v>19</v>
      </c>
      <c r="E48" s="81">
        <v>10</v>
      </c>
      <c r="F48" s="81">
        <v>12</v>
      </c>
      <c r="G48" s="82">
        <v>18</v>
      </c>
      <c r="H48" s="83">
        <v>18</v>
      </c>
    </row>
    <row r="49" spans="1:8">
      <c r="A49" s="20">
        <v>14.1</v>
      </c>
      <c r="B49" s="23" t="s">
        <v>311</v>
      </c>
      <c r="C49" s="47">
        <v>27</v>
      </c>
      <c r="D49" s="52">
        <v>25</v>
      </c>
      <c r="E49" s="81">
        <v>17</v>
      </c>
      <c r="F49" s="81">
        <v>18</v>
      </c>
      <c r="G49" s="82">
        <v>18.5</v>
      </c>
      <c r="H49" s="83">
        <v>18.5</v>
      </c>
    </row>
    <row r="50" spans="1:8" ht="29">
      <c r="A50" s="20">
        <v>14.1</v>
      </c>
      <c r="B50" s="23" t="s">
        <v>313</v>
      </c>
      <c r="C50" s="47">
        <v>7</v>
      </c>
      <c r="D50" s="52">
        <v>7</v>
      </c>
      <c r="E50" s="81">
        <v>10</v>
      </c>
      <c r="F50" s="81">
        <v>13</v>
      </c>
      <c r="G50" s="82">
        <v>19</v>
      </c>
      <c r="H50" s="83">
        <v>19</v>
      </c>
    </row>
    <row r="51" spans="1:8" ht="29">
      <c r="A51" s="54">
        <v>0</v>
      </c>
      <c r="B51" s="54" t="s">
        <v>412</v>
      </c>
      <c r="C51" s="73"/>
      <c r="D51" s="57"/>
      <c r="E51" s="57"/>
      <c r="F51" s="57"/>
      <c r="G51" s="57"/>
      <c r="H51" s="57"/>
    </row>
    <row r="52" spans="1:8" ht="29">
      <c r="A52" s="20">
        <v>14.1</v>
      </c>
      <c r="B52" s="23" t="s">
        <v>315</v>
      </c>
      <c r="C52" s="47">
        <v>17</v>
      </c>
      <c r="D52" s="52">
        <v>30</v>
      </c>
      <c r="E52" s="92" t="s">
        <v>597</v>
      </c>
      <c r="F52" s="92" t="s">
        <v>598</v>
      </c>
      <c r="G52" s="121" t="s">
        <v>615</v>
      </c>
      <c r="H52" s="92" t="s">
        <v>616</v>
      </c>
    </row>
    <row r="53" spans="1:8">
      <c r="A53" s="20">
        <v>14.1</v>
      </c>
      <c r="B53" s="22" t="s">
        <v>86</v>
      </c>
      <c r="C53" s="47">
        <v>23</v>
      </c>
      <c r="D53" s="52">
        <v>14</v>
      </c>
      <c r="E53" s="81">
        <v>20</v>
      </c>
      <c r="F53" s="81">
        <v>16</v>
      </c>
      <c r="G53" s="82">
        <v>19.5</v>
      </c>
      <c r="H53" s="83">
        <v>19.5</v>
      </c>
    </row>
    <row r="54" spans="1:8">
      <c r="A54" s="54">
        <v>15.3</v>
      </c>
      <c r="B54" s="54">
        <v>15.3</v>
      </c>
      <c r="C54" s="73"/>
      <c r="D54" s="57"/>
      <c r="E54" s="57"/>
      <c r="F54" s="57"/>
      <c r="G54" s="57"/>
      <c r="H54" s="57"/>
    </row>
    <row r="55" spans="1:8">
      <c r="A55" s="20">
        <v>15.3</v>
      </c>
      <c r="B55" s="23" t="s">
        <v>319</v>
      </c>
      <c r="C55" s="47">
        <v>23</v>
      </c>
      <c r="D55" s="52">
        <v>10</v>
      </c>
      <c r="E55" s="81">
        <v>7</v>
      </c>
      <c r="F55" s="81">
        <v>13</v>
      </c>
      <c r="G55" s="82">
        <v>19.5</v>
      </c>
      <c r="H55" s="83">
        <v>19.5</v>
      </c>
    </row>
    <row r="56" spans="1:8" ht="29">
      <c r="A56" s="20">
        <v>15.3</v>
      </c>
      <c r="B56" s="23" t="s">
        <v>321</v>
      </c>
      <c r="C56" s="47">
        <v>26</v>
      </c>
      <c r="D56" s="52">
        <v>28</v>
      </c>
      <c r="E56" s="92" t="s">
        <v>597</v>
      </c>
      <c r="F56" s="92" t="s">
        <v>598</v>
      </c>
      <c r="G56" s="121" t="s">
        <v>615</v>
      </c>
      <c r="H56" s="92" t="s">
        <v>616</v>
      </c>
    </row>
    <row r="57" spans="1:8" ht="29">
      <c r="A57" s="20">
        <v>15.3</v>
      </c>
      <c r="B57" s="23" t="s">
        <v>323</v>
      </c>
      <c r="C57" s="47">
        <v>8</v>
      </c>
      <c r="D57" s="52">
        <v>4</v>
      </c>
      <c r="E57" s="81">
        <v>6</v>
      </c>
      <c r="F57" s="81">
        <v>8</v>
      </c>
      <c r="G57" s="92" t="s">
        <v>615</v>
      </c>
      <c r="H57" s="121" t="s">
        <v>616</v>
      </c>
    </row>
    <row r="58" spans="1:8">
      <c r="A58" s="20">
        <v>15.3</v>
      </c>
      <c r="B58" s="23" t="s">
        <v>59</v>
      </c>
      <c r="C58" s="47">
        <v>20</v>
      </c>
      <c r="D58" s="52">
        <v>18</v>
      </c>
      <c r="E58" s="81">
        <v>11</v>
      </c>
      <c r="F58" s="81">
        <v>17</v>
      </c>
      <c r="G58" s="82">
        <v>18</v>
      </c>
      <c r="H58" s="83">
        <v>18</v>
      </c>
    </row>
    <row r="59" spans="1:8" ht="29">
      <c r="A59" s="54">
        <v>0</v>
      </c>
      <c r="B59" s="54" t="s">
        <v>412</v>
      </c>
      <c r="C59" s="73"/>
      <c r="D59" s="57"/>
      <c r="G59" s="57"/>
      <c r="H59" s="57"/>
    </row>
    <row r="60" spans="1:8">
      <c r="A60" s="20">
        <v>15.3</v>
      </c>
      <c r="B60" s="23" t="s">
        <v>326</v>
      </c>
      <c r="C60" s="47">
        <v>27</v>
      </c>
      <c r="D60" s="52">
        <v>30</v>
      </c>
      <c r="E60" s="81">
        <v>20</v>
      </c>
      <c r="F60" s="81">
        <v>19</v>
      </c>
      <c r="G60" s="82">
        <v>20</v>
      </c>
      <c r="H60" s="83">
        <v>20</v>
      </c>
    </row>
    <row r="61" spans="1:8">
      <c r="A61" s="20">
        <v>15.3</v>
      </c>
      <c r="B61" s="23" t="s">
        <v>328</v>
      </c>
      <c r="C61" s="47">
        <v>23</v>
      </c>
      <c r="E61" s="81">
        <v>12</v>
      </c>
      <c r="F61" s="81">
        <v>17</v>
      </c>
      <c r="G61" s="82">
        <v>18</v>
      </c>
      <c r="H61" s="83">
        <v>18</v>
      </c>
    </row>
    <row r="62" spans="1:8">
      <c r="A62" s="20">
        <v>15.3</v>
      </c>
      <c r="B62" s="23" t="s">
        <v>330</v>
      </c>
      <c r="C62" s="47">
        <v>26</v>
      </c>
      <c r="D62" s="52">
        <v>25</v>
      </c>
      <c r="E62" s="81">
        <v>18</v>
      </c>
      <c r="F62" s="81">
        <v>19</v>
      </c>
      <c r="G62" s="82">
        <v>19.5</v>
      </c>
      <c r="H62" s="83">
        <v>19.5</v>
      </c>
    </row>
    <row r="63" spans="1:8">
      <c r="A63" s="20">
        <v>15.3</v>
      </c>
      <c r="B63" s="23" t="s">
        <v>332</v>
      </c>
      <c r="C63" s="47">
        <v>22</v>
      </c>
      <c r="D63" s="52">
        <v>27</v>
      </c>
      <c r="E63" s="81">
        <v>17</v>
      </c>
      <c r="F63" s="81">
        <v>17</v>
      </c>
      <c r="G63" s="82">
        <v>19.5</v>
      </c>
      <c r="H63" s="83">
        <v>19.5</v>
      </c>
    </row>
    <row r="64" spans="1:8" ht="29">
      <c r="A64" s="20">
        <v>15.3</v>
      </c>
      <c r="B64" s="23" t="s">
        <v>349</v>
      </c>
      <c r="C64" s="47">
        <v>28</v>
      </c>
      <c r="D64" s="52">
        <v>30</v>
      </c>
      <c r="E64" s="81">
        <v>20</v>
      </c>
      <c r="F64" s="81">
        <v>17</v>
      </c>
      <c r="G64" s="82">
        <v>19.5</v>
      </c>
      <c r="H64" s="83">
        <v>19.5</v>
      </c>
    </row>
    <row r="65" spans="1:8">
      <c r="A65" s="20">
        <v>15.3</v>
      </c>
      <c r="B65" s="23" t="s">
        <v>351</v>
      </c>
      <c r="C65" s="47">
        <v>26</v>
      </c>
      <c r="D65" s="52">
        <v>28</v>
      </c>
      <c r="E65" s="81">
        <v>16</v>
      </c>
      <c r="F65" s="81">
        <v>20</v>
      </c>
      <c r="G65" s="82">
        <v>19.5</v>
      </c>
      <c r="H65" s="83">
        <v>19.5</v>
      </c>
    </row>
    <row r="66" spans="1:8">
      <c r="A66" s="20">
        <v>15.3</v>
      </c>
      <c r="B66" s="23" t="s">
        <v>353</v>
      </c>
      <c r="C66" s="47">
        <v>8</v>
      </c>
      <c r="D66" s="52">
        <v>5</v>
      </c>
      <c r="E66" s="81">
        <v>7</v>
      </c>
      <c r="F66" s="81">
        <v>8</v>
      </c>
      <c r="G66" s="82">
        <v>10</v>
      </c>
      <c r="H66" s="83">
        <v>10</v>
      </c>
    </row>
    <row r="67" spans="1:8">
      <c r="A67" s="20">
        <v>15.3</v>
      </c>
      <c r="B67" s="23" t="s">
        <v>355</v>
      </c>
      <c r="C67" s="47">
        <v>15</v>
      </c>
      <c r="E67" s="81">
        <v>10</v>
      </c>
      <c r="F67" s="81">
        <v>19</v>
      </c>
      <c r="G67" s="82">
        <v>18.5</v>
      </c>
      <c r="H67" s="83">
        <v>18.5</v>
      </c>
    </row>
    <row r="68" spans="1:8">
      <c r="A68" s="20">
        <v>15.3</v>
      </c>
      <c r="B68" s="23" t="s">
        <v>357</v>
      </c>
      <c r="C68" s="47">
        <v>18</v>
      </c>
      <c r="D68" s="52">
        <v>18</v>
      </c>
      <c r="E68" s="81">
        <v>16</v>
      </c>
      <c r="F68" s="81">
        <v>16</v>
      </c>
      <c r="G68" s="82">
        <v>18.5</v>
      </c>
      <c r="H68" s="83">
        <v>18.5</v>
      </c>
    </row>
    <row r="69" spans="1:8" ht="29">
      <c r="A69" s="54">
        <v>0</v>
      </c>
      <c r="B69" s="54" t="s">
        <v>412</v>
      </c>
      <c r="C69" s="73"/>
      <c r="D69" s="57"/>
      <c r="G69" s="57"/>
      <c r="H69" s="57"/>
    </row>
    <row r="70" spans="1:8">
      <c r="A70" s="20">
        <v>15.3</v>
      </c>
      <c r="B70" s="20" t="s">
        <v>395</v>
      </c>
      <c r="C70" s="47">
        <v>4</v>
      </c>
      <c r="D70" s="52">
        <v>5</v>
      </c>
      <c r="E70" s="81">
        <v>7</v>
      </c>
      <c r="F70" s="81">
        <v>9</v>
      </c>
      <c r="G70" s="82">
        <v>19.5</v>
      </c>
      <c r="H70" s="83">
        <v>19.5</v>
      </c>
    </row>
    <row r="71" spans="1:8" ht="29">
      <c r="A71" s="20">
        <v>16.2</v>
      </c>
      <c r="B71" s="20" t="s">
        <v>474</v>
      </c>
      <c r="C71" s="46">
        <v>27</v>
      </c>
      <c r="D71" s="92">
        <v>27</v>
      </c>
      <c r="E71" s="81">
        <v>19</v>
      </c>
      <c r="F71" s="81">
        <v>18</v>
      </c>
      <c r="G71" s="92" t="s">
        <v>615</v>
      </c>
      <c r="H71" s="121" t="s">
        <v>616</v>
      </c>
    </row>
    <row r="72" spans="1:8" ht="43.5">
      <c r="A72" s="65">
        <v>16.2</v>
      </c>
      <c r="B72" s="65" t="s">
        <v>474</v>
      </c>
      <c r="C72" s="78">
        <v>27</v>
      </c>
      <c r="D72" s="101"/>
      <c r="E72" s="81">
        <v>19</v>
      </c>
      <c r="F72" s="81">
        <v>18</v>
      </c>
      <c r="G72" s="101" t="s">
        <v>613</v>
      </c>
      <c r="H72" s="101" t="s">
        <v>614</v>
      </c>
    </row>
    <row r="73" spans="1:8">
      <c r="A73" s="54"/>
      <c r="B73" s="54"/>
      <c r="C73" s="73"/>
      <c r="D73" s="57"/>
      <c r="G73" s="57"/>
      <c r="H73" s="57"/>
    </row>
    <row r="74" spans="1:8">
      <c r="A74" s="54">
        <v>16.2</v>
      </c>
      <c r="B74" s="54">
        <v>16.2</v>
      </c>
      <c r="C74" s="73"/>
      <c r="D74" s="57"/>
      <c r="G74" s="57"/>
      <c r="H74" s="57"/>
    </row>
    <row r="75" spans="1:8">
      <c r="A75" s="73"/>
      <c r="B75" s="73"/>
      <c r="C75" s="73"/>
      <c r="D75" s="57"/>
      <c r="G75" s="57"/>
      <c r="H75" s="57"/>
    </row>
    <row r="76" spans="1:8" ht="29">
      <c r="A76" s="20">
        <v>16.2</v>
      </c>
      <c r="B76" s="23" t="s">
        <v>334</v>
      </c>
      <c r="C76" s="47">
        <v>30</v>
      </c>
      <c r="E76" s="81">
        <v>20</v>
      </c>
      <c r="F76" s="81">
        <v>20</v>
      </c>
      <c r="G76" s="82">
        <v>20</v>
      </c>
      <c r="H76" s="83">
        <v>20</v>
      </c>
    </row>
    <row r="77" spans="1:8">
      <c r="A77" s="20">
        <v>16.2</v>
      </c>
      <c r="B77" s="23" t="s">
        <v>336</v>
      </c>
      <c r="C77" s="47">
        <v>28</v>
      </c>
      <c r="E77" s="81">
        <v>13</v>
      </c>
      <c r="F77" s="81">
        <v>18</v>
      </c>
      <c r="G77" s="82">
        <v>19.5</v>
      </c>
      <c r="H77" s="83">
        <v>19.5</v>
      </c>
    </row>
    <row r="78" spans="1:8">
      <c r="A78" s="20">
        <v>16.2</v>
      </c>
      <c r="B78" s="23" t="s">
        <v>338</v>
      </c>
      <c r="C78" s="47">
        <v>29</v>
      </c>
      <c r="E78" s="81">
        <v>20</v>
      </c>
      <c r="F78" s="81">
        <v>19</v>
      </c>
      <c r="G78" s="82">
        <v>20</v>
      </c>
      <c r="H78" s="83">
        <v>20</v>
      </c>
    </row>
    <row r="79" spans="1:8" ht="29">
      <c r="A79" s="54">
        <v>0</v>
      </c>
      <c r="B79" s="54" t="s">
        <v>412</v>
      </c>
      <c r="C79" s="73"/>
      <c r="D79" s="57"/>
      <c r="G79" s="57">
        <v>18.5</v>
      </c>
      <c r="H79" s="57">
        <v>18.5</v>
      </c>
    </row>
    <row r="80" spans="1:8">
      <c r="A80" s="20">
        <v>16.2</v>
      </c>
      <c r="B80" s="23" t="s">
        <v>340</v>
      </c>
      <c r="C80" s="47">
        <v>28</v>
      </c>
      <c r="E80" s="81">
        <v>13</v>
      </c>
      <c r="F80" s="81">
        <v>18</v>
      </c>
      <c r="G80" s="82">
        <v>10.5</v>
      </c>
      <c r="H80" s="83">
        <v>10.5</v>
      </c>
    </row>
    <row r="81" spans="1:8">
      <c r="A81" s="20">
        <v>16.2</v>
      </c>
      <c r="B81" s="23" t="s">
        <v>342</v>
      </c>
      <c r="C81" s="47">
        <v>21</v>
      </c>
      <c r="E81" s="81">
        <v>11</v>
      </c>
      <c r="F81" s="81">
        <v>9</v>
      </c>
      <c r="G81" s="82">
        <v>20</v>
      </c>
      <c r="H81" s="83">
        <v>20</v>
      </c>
    </row>
    <row r="82" spans="1:8">
      <c r="A82" s="20">
        <v>16.2</v>
      </c>
      <c r="B82" s="23" t="s">
        <v>434</v>
      </c>
      <c r="C82" s="47">
        <v>20</v>
      </c>
      <c r="E82" s="81">
        <v>16</v>
      </c>
      <c r="F82" s="81">
        <v>13</v>
      </c>
      <c r="G82" s="82">
        <v>10</v>
      </c>
      <c r="H82" s="83">
        <v>10</v>
      </c>
    </row>
    <row r="83" spans="1:8">
      <c r="A83" s="20">
        <v>16.2</v>
      </c>
      <c r="B83" s="23" t="s">
        <v>344</v>
      </c>
      <c r="C83" s="47">
        <v>11</v>
      </c>
      <c r="E83" s="81">
        <v>9</v>
      </c>
      <c r="F83" s="81">
        <v>17</v>
      </c>
      <c r="G83" s="82">
        <v>14</v>
      </c>
      <c r="H83" s="83">
        <v>14</v>
      </c>
    </row>
    <row r="84" spans="1:8">
      <c r="A84" s="20">
        <v>16.2</v>
      </c>
      <c r="B84" s="23" t="s">
        <v>346</v>
      </c>
      <c r="C84" s="47">
        <v>28</v>
      </c>
      <c r="E84" s="81">
        <v>16</v>
      </c>
      <c r="F84" s="81">
        <v>17</v>
      </c>
      <c r="G84" s="82">
        <v>19.5</v>
      </c>
      <c r="H84" s="83">
        <v>19.5</v>
      </c>
    </row>
    <row r="85" spans="1:8" ht="29">
      <c r="A85" s="20">
        <v>16.2</v>
      </c>
      <c r="B85" s="20" t="s">
        <v>231</v>
      </c>
      <c r="C85" s="47">
        <v>15</v>
      </c>
      <c r="E85" s="81">
        <v>13</v>
      </c>
      <c r="F85" s="81">
        <v>9</v>
      </c>
      <c r="G85" s="82">
        <v>18.5</v>
      </c>
      <c r="H85" s="83">
        <v>18.5</v>
      </c>
    </row>
    <row r="86" spans="1:8">
      <c r="A86" s="20">
        <v>16.2</v>
      </c>
      <c r="B86" s="20" t="s">
        <v>221</v>
      </c>
      <c r="C86" s="47">
        <v>29</v>
      </c>
      <c r="E86" s="81">
        <v>18</v>
      </c>
      <c r="F86" s="81">
        <v>17</v>
      </c>
      <c r="G86" s="82">
        <v>20</v>
      </c>
      <c r="H86" s="83">
        <v>20</v>
      </c>
    </row>
    <row r="87" spans="1:8">
      <c r="A87" s="20">
        <v>16.2</v>
      </c>
      <c r="B87" s="20" t="s">
        <v>230</v>
      </c>
      <c r="E87" s="81">
        <v>4</v>
      </c>
      <c r="F87" s="81">
        <v>9</v>
      </c>
      <c r="G87" s="82">
        <v>18.5</v>
      </c>
      <c r="H87" s="83">
        <v>18.5</v>
      </c>
    </row>
    <row r="88" spans="1:8">
      <c r="A88" s="20">
        <v>16.2</v>
      </c>
      <c r="B88" s="20" t="s">
        <v>225</v>
      </c>
      <c r="C88" s="47">
        <v>16</v>
      </c>
      <c r="E88" s="81">
        <v>19</v>
      </c>
      <c r="F88" s="81">
        <v>20</v>
      </c>
      <c r="G88" s="82">
        <v>19</v>
      </c>
      <c r="H88" s="83">
        <v>19</v>
      </c>
    </row>
    <row r="89" spans="1:8" ht="29">
      <c r="A89" s="54">
        <v>0</v>
      </c>
      <c r="B89" s="54" t="s">
        <v>412</v>
      </c>
      <c r="C89" s="73"/>
      <c r="D89" s="57"/>
      <c r="G89" s="57"/>
      <c r="H89" s="57"/>
    </row>
    <row r="90" spans="1:8" ht="29">
      <c r="A90" s="20">
        <v>16.2</v>
      </c>
      <c r="B90" s="20" t="s">
        <v>374</v>
      </c>
      <c r="C90" s="47">
        <v>29</v>
      </c>
      <c r="E90" s="92" t="s">
        <v>597</v>
      </c>
      <c r="F90" s="81">
        <v>16</v>
      </c>
      <c r="G90" s="82">
        <v>19.5</v>
      </c>
      <c r="H90" s="83">
        <v>19.5</v>
      </c>
    </row>
    <row r="91" spans="1:8">
      <c r="A91" s="20">
        <v>16.2</v>
      </c>
      <c r="B91" s="29" t="s">
        <v>375</v>
      </c>
      <c r="C91" s="47">
        <v>0</v>
      </c>
      <c r="E91" s="81">
        <v>19</v>
      </c>
      <c r="F91" s="81">
        <v>20</v>
      </c>
      <c r="G91" s="82">
        <v>19</v>
      </c>
      <c r="H91" s="83">
        <v>19</v>
      </c>
    </row>
    <row r="92" spans="1:8">
      <c r="A92" s="20">
        <v>16.2</v>
      </c>
      <c r="B92" s="23" t="s">
        <v>436</v>
      </c>
      <c r="E92" s="81">
        <v>20</v>
      </c>
      <c r="F92" s="81">
        <v>20</v>
      </c>
      <c r="G92" s="82">
        <v>20</v>
      </c>
      <c r="H92" s="83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64B4-C052-4E49-BF43-3471D3FF8C23}">
  <dimension ref="A1:N92"/>
  <sheetViews>
    <sheetView topLeftCell="A86" workbookViewId="0">
      <selection activeCell="M1" sqref="M1:M1048576"/>
    </sheetView>
  </sheetViews>
  <sheetFormatPr defaultRowHeight="14.5"/>
  <cols>
    <col min="1" max="1" width="7.26953125" style="47" customWidth="1"/>
    <col min="2" max="2" width="17.26953125" style="47" customWidth="1"/>
    <col min="3" max="3" width="10.6328125" style="117" hidden="1" customWidth="1"/>
    <col min="4" max="4" width="12.7265625" style="113" hidden="1" customWidth="1"/>
    <col min="5" max="10" width="7.26953125" style="113" hidden="1" customWidth="1"/>
    <col min="11" max="11" width="6.1796875" style="81" hidden="1" customWidth="1"/>
    <col min="12" max="12" width="5.7265625" style="83" hidden="1" customWidth="1"/>
    <col min="13" max="13" width="7.90625" style="81" hidden="1" customWidth="1"/>
    <col min="14" max="14" width="7.26953125" style="82" customWidth="1"/>
  </cols>
  <sheetData>
    <row r="1" spans="1:14" ht="20.5" customHeight="1">
      <c r="A1" s="20">
        <v>11.1</v>
      </c>
      <c r="B1" s="20">
        <v>11.1</v>
      </c>
      <c r="C1" s="115" t="s">
        <v>467</v>
      </c>
      <c r="D1" s="113" t="s">
        <v>478</v>
      </c>
      <c r="K1" s="81" t="s">
        <v>597</v>
      </c>
      <c r="L1" s="83" t="s">
        <v>616</v>
      </c>
      <c r="M1" s="81" t="s">
        <v>598</v>
      </c>
      <c r="N1" s="82" t="s">
        <v>615</v>
      </c>
    </row>
    <row r="2" spans="1:14" ht="26" hidden="1" customHeight="1">
      <c r="A2" s="20">
        <v>11.1</v>
      </c>
      <c r="B2" s="23" t="s">
        <v>234</v>
      </c>
      <c r="C2" s="116">
        <v>0.93300000000000005</v>
      </c>
      <c r="D2" s="114">
        <v>0.66669999999999996</v>
      </c>
      <c r="E2" s="114"/>
      <c r="F2" s="114"/>
      <c r="G2" s="114"/>
      <c r="H2" s="114"/>
      <c r="I2" s="114"/>
      <c r="J2" s="114"/>
      <c r="K2" s="81">
        <v>15</v>
      </c>
      <c r="L2" s="83">
        <v>20</v>
      </c>
      <c r="M2" s="81">
        <v>19</v>
      </c>
      <c r="N2" s="82">
        <v>20</v>
      </c>
    </row>
    <row r="3" spans="1:14" ht="19" hidden="1" customHeight="1">
      <c r="A3" s="20">
        <v>11.1</v>
      </c>
      <c r="B3" s="23" t="s">
        <v>236</v>
      </c>
      <c r="C3" s="116">
        <v>0.7</v>
      </c>
      <c r="D3" s="114">
        <v>0.63329999999999997</v>
      </c>
      <c r="E3" s="114"/>
      <c r="F3" s="114"/>
      <c r="G3" s="114"/>
      <c r="H3" s="114"/>
      <c r="I3" s="114"/>
      <c r="J3" s="114"/>
      <c r="K3" s="81">
        <v>14</v>
      </c>
      <c r="L3" s="83">
        <v>19.5</v>
      </c>
      <c r="M3" s="81">
        <v>18</v>
      </c>
      <c r="N3" s="82">
        <v>19.5</v>
      </c>
    </row>
    <row r="4" spans="1:14" ht="30" hidden="1" customHeight="1">
      <c r="A4" s="20">
        <v>11.1</v>
      </c>
      <c r="B4" s="23" t="s">
        <v>238</v>
      </c>
      <c r="C4" s="116">
        <v>0.86699999999999999</v>
      </c>
      <c r="D4" s="114">
        <v>0.76670000000000005</v>
      </c>
      <c r="E4" s="114"/>
      <c r="F4" s="114"/>
      <c r="G4" s="114"/>
      <c r="H4" s="114"/>
      <c r="I4" s="114"/>
      <c r="J4" s="114"/>
      <c r="K4" s="81">
        <v>17</v>
      </c>
      <c r="L4" s="83">
        <v>19.5</v>
      </c>
      <c r="M4" s="81">
        <v>17</v>
      </c>
      <c r="N4" s="82">
        <v>19.5</v>
      </c>
    </row>
    <row r="5" spans="1:14" ht="23" hidden="1" customHeight="1">
      <c r="A5" s="20">
        <v>11.1</v>
      </c>
      <c r="B5" s="23" t="s">
        <v>240</v>
      </c>
      <c r="C5" s="116">
        <v>1</v>
      </c>
      <c r="D5" s="114">
        <v>1</v>
      </c>
      <c r="E5" s="114"/>
      <c r="F5" s="114"/>
      <c r="G5" s="114"/>
      <c r="H5" s="114"/>
      <c r="I5" s="114"/>
      <c r="J5" s="114"/>
      <c r="K5" s="81">
        <v>20</v>
      </c>
      <c r="L5" s="83">
        <v>20</v>
      </c>
      <c r="M5" s="81">
        <v>20</v>
      </c>
      <c r="N5" s="82">
        <v>20</v>
      </c>
    </row>
    <row r="6" spans="1:14" hidden="1">
      <c r="A6" s="54">
        <v>0</v>
      </c>
      <c r="B6" s="54" t="s">
        <v>412</v>
      </c>
      <c r="L6" s="57"/>
      <c r="N6" s="57"/>
    </row>
    <row r="7" spans="1:14" hidden="1">
      <c r="A7" s="20">
        <v>11.1</v>
      </c>
      <c r="B7" s="23" t="s">
        <v>242</v>
      </c>
      <c r="C7" s="116">
        <v>0.76700000000000002</v>
      </c>
      <c r="D7" s="114">
        <v>0.5333</v>
      </c>
      <c r="E7" s="114"/>
      <c r="F7" s="114"/>
      <c r="G7" s="114"/>
      <c r="H7" s="114"/>
      <c r="I7" s="114"/>
      <c r="J7" s="114"/>
      <c r="K7" s="81">
        <v>18</v>
      </c>
      <c r="L7" s="83">
        <v>19.5</v>
      </c>
      <c r="M7" s="81">
        <v>18</v>
      </c>
      <c r="N7" s="82">
        <v>19.5</v>
      </c>
    </row>
    <row r="8" spans="1:14" hidden="1">
      <c r="A8" s="20">
        <v>11.1</v>
      </c>
      <c r="B8" s="23" t="s">
        <v>244</v>
      </c>
      <c r="C8" s="116">
        <v>1</v>
      </c>
      <c r="D8" s="114">
        <v>0.9667</v>
      </c>
      <c r="E8" s="114"/>
      <c r="F8" s="114"/>
      <c r="G8" s="114"/>
      <c r="H8" s="114"/>
      <c r="I8" s="114"/>
      <c r="J8" s="114"/>
      <c r="K8" s="81">
        <v>19</v>
      </c>
      <c r="L8" s="83">
        <v>20</v>
      </c>
      <c r="M8" s="81">
        <v>19</v>
      </c>
      <c r="N8" s="82">
        <v>20</v>
      </c>
    </row>
    <row r="9" spans="1:14" hidden="1">
      <c r="A9" s="20">
        <v>11.1</v>
      </c>
      <c r="B9" s="23" t="s">
        <v>246</v>
      </c>
      <c r="C9" s="116">
        <v>0.93300000000000005</v>
      </c>
      <c r="D9" s="114">
        <v>0.93330000000000002</v>
      </c>
      <c r="E9" s="114"/>
      <c r="F9" s="114"/>
      <c r="G9" s="114"/>
      <c r="H9" s="114"/>
      <c r="I9" s="114"/>
      <c r="J9" s="114"/>
      <c r="K9" s="81">
        <v>20</v>
      </c>
      <c r="L9" s="83">
        <v>20</v>
      </c>
      <c r="M9" s="81">
        <v>18</v>
      </c>
      <c r="N9" s="82">
        <v>20</v>
      </c>
    </row>
    <row r="10" spans="1:14" hidden="1">
      <c r="A10" s="20">
        <v>11.1</v>
      </c>
      <c r="B10" s="23" t="s">
        <v>248</v>
      </c>
      <c r="C10" s="120">
        <v>17</v>
      </c>
      <c r="D10" s="114">
        <v>0.66669999999999996</v>
      </c>
      <c r="E10" s="114"/>
      <c r="F10" s="114"/>
      <c r="G10" s="114"/>
      <c r="H10" s="114"/>
      <c r="I10" s="114"/>
      <c r="J10" s="114"/>
      <c r="K10" s="81">
        <v>19</v>
      </c>
      <c r="L10" s="83">
        <v>19.5</v>
      </c>
      <c r="M10" s="81">
        <v>18</v>
      </c>
      <c r="N10" s="82">
        <v>19.5</v>
      </c>
    </row>
    <row r="11" spans="1:14" hidden="1">
      <c r="A11" s="20">
        <v>11.1</v>
      </c>
      <c r="B11" s="23" t="s">
        <v>250</v>
      </c>
      <c r="C11" s="116">
        <v>0.66700000000000004</v>
      </c>
      <c r="D11" s="114">
        <v>0.63329999999999997</v>
      </c>
      <c r="E11" s="114"/>
      <c r="F11" s="114"/>
      <c r="G11" s="114"/>
      <c r="H11" s="114"/>
      <c r="I11" s="114"/>
      <c r="J11" s="114"/>
      <c r="K11" s="81">
        <v>16</v>
      </c>
      <c r="L11" s="83">
        <v>19.5</v>
      </c>
      <c r="M11" s="81">
        <v>17</v>
      </c>
      <c r="N11" s="82">
        <v>19.5</v>
      </c>
    </row>
    <row r="12" spans="1:14" hidden="1">
      <c r="A12" s="20">
        <v>11.1</v>
      </c>
      <c r="B12" s="23" t="s">
        <v>252</v>
      </c>
      <c r="C12" s="116">
        <v>1</v>
      </c>
      <c r="D12" s="114">
        <v>1</v>
      </c>
      <c r="E12" s="114"/>
      <c r="F12" s="114"/>
      <c r="G12" s="114"/>
      <c r="H12" s="114"/>
      <c r="I12" s="114"/>
      <c r="J12" s="114"/>
      <c r="K12" s="81">
        <v>20</v>
      </c>
      <c r="L12" s="83">
        <v>20</v>
      </c>
      <c r="M12" s="81">
        <v>18</v>
      </c>
      <c r="N12" s="82">
        <v>20</v>
      </c>
    </row>
    <row r="13" spans="1:14" hidden="1">
      <c r="A13" s="20">
        <v>11.1</v>
      </c>
      <c r="B13" s="23" t="s">
        <v>254</v>
      </c>
      <c r="C13" s="116">
        <v>0.96699999999999997</v>
      </c>
      <c r="D13" s="114">
        <v>1</v>
      </c>
      <c r="E13" s="114"/>
      <c r="F13" s="114"/>
      <c r="G13" s="114"/>
      <c r="H13" s="114"/>
      <c r="I13" s="114"/>
      <c r="J13" s="114"/>
      <c r="K13" s="81">
        <v>20</v>
      </c>
      <c r="L13" s="83">
        <v>20</v>
      </c>
      <c r="M13" s="81">
        <v>20</v>
      </c>
      <c r="N13" s="82">
        <v>20</v>
      </c>
    </row>
    <row r="14" spans="1:14" hidden="1">
      <c r="A14" s="20">
        <v>11.1</v>
      </c>
      <c r="B14" s="23" t="s">
        <v>256</v>
      </c>
      <c r="C14" s="116">
        <v>1</v>
      </c>
      <c r="D14" s="114">
        <v>0.73329999999999995</v>
      </c>
      <c r="E14" s="114"/>
      <c r="F14" s="114"/>
      <c r="G14" s="114"/>
      <c r="H14" s="114"/>
      <c r="I14" s="114"/>
      <c r="J14" s="114"/>
      <c r="K14" s="81">
        <v>19</v>
      </c>
      <c r="L14" s="83">
        <v>20</v>
      </c>
      <c r="M14" s="81">
        <v>20</v>
      </c>
      <c r="N14" s="82">
        <v>20</v>
      </c>
    </row>
    <row r="15" spans="1:14" hidden="1">
      <c r="A15" s="20">
        <v>11.1</v>
      </c>
      <c r="B15" s="23" t="s">
        <v>258</v>
      </c>
      <c r="C15" s="116">
        <v>0.96699999999999997</v>
      </c>
      <c r="D15" s="114">
        <v>0.93330000000000002</v>
      </c>
      <c r="E15" s="114"/>
      <c r="F15" s="114"/>
      <c r="G15" s="114"/>
      <c r="H15" s="114"/>
      <c r="I15" s="114"/>
      <c r="J15" s="114"/>
      <c r="K15" s="81">
        <v>19</v>
      </c>
      <c r="L15" s="83">
        <v>19.5</v>
      </c>
      <c r="M15" s="81">
        <v>18</v>
      </c>
      <c r="N15" s="82">
        <v>19.5</v>
      </c>
    </row>
    <row r="16" spans="1:14" hidden="1">
      <c r="A16" s="54">
        <v>0</v>
      </c>
      <c r="B16" s="54" t="s">
        <v>412</v>
      </c>
      <c r="L16" s="57"/>
      <c r="N16" s="57"/>
    </row>
    <row r="17" spans="1:14" hidden="1">
      <c r="A17" s="20">
        <v>11.1</v>
      </c>
      <c r="B17" s="23" t="s">
        <v>260</v>
      </c>
      <c r="C17" s="116">
        <v>1</v>
      </c>
      <c r="D17" s="114">
        <v>0.76670000000000005</v>
      </c>
      <c r="E17" s="114"/>
      <c r="F17" s="114"/>
      <c r="G17" s="114"/>
      <c r="H17" s="114"/>
      <c r="I17" s="114"/>
      <c r="J17" s="114"/>
      <c r="K17" s="81">
        <v>20</v>
      </c>
      <c r="L17" s="83">
        <v>19.5</v>
      </c>
      <c r="M17" s="81">
        <v>20</v>
      </c>
      <c r="N17" s="82">
        <v>19.5</v>
      </c>
    </row>
    <row r="18" spans="1:14" hidden="1">
      <c r="A18" s="54">
        <v>13.2</v>
      </c>
      <c r="B18" s="54">
        <v>13.2</v>
      </c>
      <c r="L18" s="57"/>
      <c r="N18" s="57"/>
    </row>
    <row r="19" spans="1:14" hidden="1">
      <c r="A19" s="20">
        <v>13.2</v>
      </c>
      <c r="B19" s="23" t="s">
        <v>262</v>
      </c>
      <c r="C19" s="116">
        <v>0.86699999999999999</v>
      </c>
      <c r="D19" s="114">
        <v>0.66669999999999996</v>
      </c>
      <c r="E19" s="114"/>
      <c r="F19" s="114"/>
      <c r="G19" s="114"/>
      <c r="H19" s="114"/>
      <c r="I19" s="114"/>
      <c r="J19" s="114"/>
      <c r="K19" s="81">
        <v>14</v>
      </c>
      <c r="L19" s="83">
        <v>19.5</v>
      </c>
      <c r="M19" s="81">
        <v>14</v>
      </c>
      <c r="N19" s="82">
        <v>19.5</v>
      </c>
    </row>
    <row r="20" spans="1:14" hidden="1">
      <c r="A20" s="20">
        <v>13.2</v>
      </c>
      <c r="B20" s="23" t="s">
        <v>264</v>
      </c>
      <c r="C20" s="116">
        <v>0.86699999999999999</v>
      </c>
      <c r="D20" s="114">
        <v>0.6</v>
      </c>
      <c r="E20" s="114"/>
      <c r="F20" s="114"/>
      <c r="G20" s="114"/>
      <c r="H20" s="114"/>
      <c r="I20" s="114"/>
      <c r="J20" s="114"/>
      <c r="K20" s="81">
        <v>15</v>
      </c>
      <c r="L20" s="83">
        <v>20</v>
      </c>
      <c r="M20" s="81">
        <v>16</v>
      </c>
      <c r="N20" s="82">
        <v>20</v>
      </c>
    </row>
    <row r="21" spans="1:14" hidden="1">
      <c r="A21" s="20">
        <v>13.2</v>
      </c>
      <c r="B21" s="23" t="s">
        <v>266</v>
      </c>
      <c r="C21" s="116">
        <v>0.9</v>
      </c>
      <c r="D21" s="114">
        <v>0.86670000000000003</v>
      </c>
      <c r="E21" s="114"/>
      <c r="F21" s="114"/>
      <c r="G21" s="114"/>
      <c r="H21" s="114"/>
      <c r="I21" s="114"/>
      <c r="J21" s="114"/>
      <c r="K21" s="81">
        <v>19</v>
      </c>
      <c r="L21" s="83">
        <v>19.5</v>
      </c>
      <c r="M21" s="81">
        <v>18</v>
      </c>
      <c r="N21" s="82">
        <v>19.5</v>
      </c>
    </row>
    <row r="22" spans="1:14" hidden="1">
      <c r="A22" s="20"/>
      <c r="B22" s="23" t="s">
        <v>432</v>
      </c>
      <c r="C22" s="116">
        <v>1</v>
      </c>
      <c r="D22" s="114">
        <v>0.93330000000000002</v>
      </c>
      <c r="E22" s="114"/>
      <c r="F22" s="114"/>
      <c r="G22" s="114"/>
      <c r="H22" s="114"/>
      <c r="I22" s="114"/>
      <c r="J22" s="114"/>
      <c r="K22" s="81">
        <v>20</v>
      </c>
      <c r="L22" s="83">
        <v>19.5</v>
      </c>
      <c r="M22" s="81">
        <v>20</v>
      </c>
      <c r="N22" s="82">
        <v>19.5</v>
      </c>
    </row>
    <row r="23" spans="1:14" hidden="1">
      <c r="A23" s="20">
        <v>13.2</v>
      </c>
      <c r="B23" s="23" t="s">
        <v>268</v>
      </c>
      <c r="C23" s="116">
        <v>0.83299999999999996</v>
      </c>
      <c r="D23" s="114">
        <v>0.76670000000000005</v>
      </c>
      <c r="E23" s="114"/>
      <c r="F23" s="114"/>
      <c r="G23" s="114"/>
      <c r="H23" s="114"/>
      <c r="I23" s="114"/>
      <c r="J23" s="114"/>
      <c r="K23" s="81">
        <v>16</v>
      </c>
      <c r="L23" s="83">
        <v>19</v>
      </c>
      <c r="M23" s="81">
        <v>18</v>
      </c>
      <c r="N23" s="82">
        <v>19</v>
      </c>
    </row>
    <row r="24" spans="1:14" hidden="1">
      <c r="A24" s="54">
        <v>0</v>
      </c>
      <c r="B24" s="54" t="s">
        <v>412</v>
      </c>
      <c r="L24" s="57"/>
      <c r="N24" s="57"/>
    </row>
    <row r="25" spans="1:14" hidden="1">
      <c r="A25" s="20">
        <v>13.2</v>
      </c>
      <c r="B25" s="23" t="s">
        <v>270</v>
      </c>
      <c r="C25" s="116">
        <v>1</v>
      </c>
      <c r="D25" s="114">
        <v>0.73329999999999995</v>
      </c>
      <c r="E25" s="114"/>
      <c r="F25" s="114"/>
      <c r="G25" s="114"/>
      <c r="H25" s="114"/>
      <c r="I25" s="114"/>
      <c r="J25" s="114"/>
      <c r="K25" s="81">
        <v>14</v>
      </c>
      <c r="L25" s="83">
        <v>19.5</v>
      </c>
      <c r="M25" s="81">
        <v>18</v>
      </c>
      <c r="N25" s="82">
        <v>19.5</v>
      </c>
    </row>
    <row r="26" spans="1:14" hidden="1">
      <c r="A26" s="20">
        <v>13.2</v>
      </c>
      <c r="B26" s="23" t="s">
        <v>272</v>
      </c>
      <c r="C26" s="116">
        <v>0.8</v>
      </c>
      <c r="D26" s="114">
        <v>0.86670000000000003</v>
      </c>
      <c r="E26" s="114"/>
      <c r="F26" s="114"/>
      <c r="G26" s="114"/>
      <c r="H26" s="114"/>
      <c r="I26" s="114"/>
      <c r="J26" s="114"/>
      <c r="K26" s="81">
        <v>17</v>
      </c>
      <c r="L26" s="83">
        <v>19</v>
      </c>
      <c r="M26" s="81">
        <v>16</v>
      </c>
      <c r="N26" s="82">
        <v>19</v>
      </c>
    </row>
    <row r="27" spans="1:14" hidden="1">
      <c r="A27" s="20">
        <v>13.2</v>
      </c>
      <c r="B27" s="23" t="s">
        <v>274</v>
      </c>
      <c r="C27" s="116">
        <v>1</v>
      </c>
      <c r="D27" s="114">
        <v>0.9667</v>
      </c>
      <c r="E27" s="114"/>
      <c r="F27" s="114"/>
      <c r="G27" s="114"/>
      <c r="H27" s="114"/>
      <c r="I27" s="114"/>
      <c r="J27" s="114"/>
      <c r="K27" s="81">
        <v>20</v>
      </c>
      <c r="L27" s="83">
        <v>20</v>
      </c>
      <c r="M27" s="81">
        <v>20</v>
      </c>
      <c r="N27" s="82">
        <v>20</v>
      </c>
    </row>
    <row r="28" spans="1:14" hidden="1">
      <c r="A28" s="20">
        <v>13.2</v>
      </c>
      <c r="B28" s="23" t="s">
        <v>276</v>
      </c>
      <c r="C28" s="116">
        <v>1</v>
      </c>
      <c r="D28" s="114">
        <v>0.9667</v>
      </c>
      <c r="E28" s="114"/>
      <c r="F28" s="114"/>
      <c r="G28" s="114"/>
      <c r="H28" s="114"/>
      <c r="I28" s="114"/>
      <c r="J28" s="114"/>
      <c r="K28" s="81">
        <v>20</v>
      </c>
      <c r="L28" s="83">
        <v>20</v>
      </c>
      <c r="M28" s="81">
        <v>20</v>
      </c>
      <c r="N28" s="82">
        <v>20</v>
      </c>
    </row>
    <row r="29" spans="1:14" hidden="1">
      <c r="A29" s="20">
        <v>13.2</v>
      </c>
      <c r="B29" s="23" t="s">
        <v>278</v>
      </c>
      <c r="C29" s="116">
        <v>1</v>
      </c>
      <c r="D29" s="114">
        <v>1</v>
      </c>
      <c r="E29" s="114"/>
      <c r="F29" s="114"/>
      <c r="G29" s="114"/>
      <c r="H29" s="114"/>
      <c r="I29" s="114"/>
      <c r="J29" s="114"/>
      <c r="K29" s="81">
        <v>19</v>
      </c>
      <c r="L29" s="83">
        <v>20</v>
      </c>
      <c r="M29" s="81">
        <v>18</v>
      </c>
      <c r="N29" s="82">
        <v>20</v>
      </c>
    </row>
    <row r="30" spans="1:14" hidden="1">
      <c r="A30" s="20">
        <v>13.2</v>
      </c>
      <c r="B30" s="23" t="s">
        <v>280</v>
      </c>
      <c r="C30" s="116">
        <v>0.86699999999999999</v>
      </c>
      <c r="D30" s="114">
        <v>0.63329999999999997</v>
      </c>
      <c r="E30" s="114"/>
      <c r="F30" s="114"/>
      <c r="G30" s="114"/>
      <c r="H30" s="114"/>
      <c r="I30" s="114"/>
      <c r="J30" s="114"/>
      <c r="K30" s="81">
        <v>17</v>
      </c>
      <c r="L30" s="83">
        <v>19.5</v>
      </c>
      <c r="M30" s="81">
        <v>17</v>
      </c>
      <c r="N30" s="82">
        <v>19.5</v>
      </c>
    </row>
    <row r="31" spans="1:14" hidden="1">
      <c r="A31" s="20">
        <v>13.2</v>
      </c>
      <c r="B31" s="23" t="s">
        <v>282</v>
      </c>
      <c r="C31" s="116">
        <v>0.86699999999999999</v>
      </c>
      <c r="D31" s="114">
        <v>0.66669999999999996</v>
      </c>
      <c r="E31" s="114"/>
      <c r="F31" s="114"/>
      <c r="G31" s="114"/>
      <c r="H31" s="114"/>
      <c r="I31" s="114"/>
      <c r="J31" s="114"/>
      <c r="K31" s="81">
        <v>16</v>
      </c>
      <c r="L31" s="83">
        <v>19.5</v>
      </c>
      <c r="M31" s="81">
        <v>19</v>
      </c>
      <c r="N31" s="82">
        <v>19.5</v>
      </c>
    </row>
    <row r="32" spans="1:14" hidden="1">
      <c r="A32" s="20">
        <v>13.2</v>
      </c>
      <c r="B32" s="23" t="s">
        <v>284</v>
      </c>
      <c r="C32" s="116">
        <v>1</v>
      </c>
      <c r="D32" s="114">
        <v>0.9667</v>
      </c>
      <c r="E32" s="114"/>
      <c r="F32" s="114"/>
      <c r="G32" s="114"/>
      <c r="H32" s="114"/>
      <c r="I32" s="114"/>
      <c r="J32" s="114"/>
      <c r="K32" s="81">
        <v>20</v>
      </c>
      <c r="L32" s="83">
        <v>19.5</v>
      </c>
      <c r="M32" s="81">
        <v>20</v>
      </c>
      <c r="N32" s="82">
        <v>19.5</v>
      </c>
    </row>
    <row r="33" spans="1:14" hidden="1">
      <c r="A33" s="20">
        <v>13.2</v>
      </c>
      <c r="B33" s="23" t="s">
        <v>286</v>
      </c>
      <c r="C33" s="116">
        <v>0.6</v>
      </c>
      <c r="D33" s="114">
        <v>0.5</v>
      </c>
      <c r="E33" s="114"/>
      <c r="F33" s="114"/>
      <c r="G33" s="114"/>
      <c r="H33" s="114"/>
      <c r="I33" s="114"/>
      <c r="J33" s="114"/>
      <c r="K33" s="81">
        <v>13</v>
      </c>
      <c r="L33" s="83">
        <v>18.5</v>
      </c>
      <c r="M33" s="81">
        <v>15</v>
      </c>
      <c r="N33" s="82">
        <v>18.5</v>
      </c>
    </row>
    <row r="34" spans="1:14" hidden="1">
      <c r="A34" s="54">
        <v>0</v>
      </c>
      <c r="B34" s="54" t="s">
        <v>412</v>
      </c>
      <c r="K34" s="57"/>
      <c r="L34" s="57"/>
      <c r="M34" s="57"/>
      <c r="N34" s="57"/>
    </row>
    <row r="35" spans="1:14" hidden="1">
      <c r="A35" s="20">
        <v>13.2</v>
      </c>
      <c r="B35" s="23" t="s">
        <v>288</v>
      </c>
      <c r="C35" s="116">
        <v>0.73299999999999998</v>
      </c>
      <c r="D35" s="114">
        <v>0.5333</v>
      </c>
      <c r="E35" s="114"/>
      <c r="F35" s="114"/>
      <c r="G35" s="114"/>
      <c r="H35" s="114"/>
      <c r="I35" s="114"/>
      <c r="J35" s="114"/>
      <c r="K35" s="81">
        <v>11</v>
      </c>
      <c r="L35" s="83">
        <v>19</v>
      </c>
      <c r="M35" s="81">
        <v>16</v>
      </c>
      <c r="N35" s="82">
        <v>19</v>
      </c>
    </row>
    <row r="36" spans="1:14" hidden="1">
      <c r="A36" s="54">
        <v>14.1</v>
      </c>
      <c r="B36" s="54">
        <v>14.1</v>
      </c>
      <c r="K36" s="57"/>
      <c r="L36" s="57"/>
      <c r="M36" s="57"/>
      <c r="N36" s="57"/>
    </row>
    <row r="37" spans="1:14" hidden="1">
      <c r="A37" s="20">
        <v>14.1</v>
      </c>
      <c r="B37" s="23" t="s">
        <v>290</v>
      </c>
      <c r="C37" s="116">
        <v>0.13300000000000001</v>
      </c>
      <c r="D37" s="114">
        <v>0.23330000000000001</v>
      </c>
      <c r="E37" s="114"/>
      <c r="F37" s="114"/>
      <c r="G37" s="114"/>
      <c r="H37" s="114"/>
      <c r="I37" s="114"/>
      <c r="J37" s="114"/>
      <c r="K37" s="81">
        <v>5</v>
      </c>
      <c r="L37" s="83">
        <v>17.5</v>
      </c>
      <c r="M37" s="81">
        <v>12</v>
      </c>
      <c r="N37" s="82">
        <v>17.5</v>
      </c>
    </row>
    <row r="38" spans="1:14" hidden="1">
      <c r="A38" s="20">
        <v>14.1</v>
      </c>
      <c r="B38" s="23" t="s">
        <v>292</v>
      </c>
      <c r="C38" s="116">
        <v>0.96699999999999997</v>
      </c>
      <c r="D38" s="114">
        <v>0.86670000000000003</v>
      </c>
      <c r="E38" s="114"/>
      <c r="F38" s="114"/>
      <c r="G38" s="114"/>
      <c r="H38" s="114"/>
      <c r="I38" s="114"/>
      <c r="J38" s="114"/>
      <c r="K38" s="81">
        <v>19</v>
      </c>
      <c r="L38" s="83">
        <v>19.5</v>
      </c>
      <c r="M38" s="81">
        <v>19</v>
      </c>
      <c r="N38" s="82">
        <v>19.5</v>
      </c>
    </row>
    <row r="39" spans="1:14" hidden="1">
      <c r="A39" s="20">
        <v>14.1</v>
      </c>
      <c r="B39" s="23" t="s">
        <v>294</v>
      </c>
      <c r="C39" s="116">
        <v>0.5</v>
      </c>
      <c r="D39" s="114">
        <v>0.6</v>
      </c>
      <c r="E39" s="114"/>
      <c r="F39" s="114"/>
      <c r="G39" s="114"/>
      <c r="H39" s="114"/>
      <c r="I39" s="114"/>
      <c r="J39" s="114"/>
      <c r="K39" s="81">
        <v>12</v>
      </c>
      <c r="L39" s="83">
        <v>17</v>
      </c>
      <c r="M39" s="81">
        <v>15</v>
      </c>
      <c r="N39" s="82">
        <v>17</v>
      </c>
    </row>
    <row r="40" spans="1:14" hidden="1">
      <c r="A40" s="20">
        <v>14.1</v>
      </c>
      <c r="B40" s="23" t="s">
        <v>296</v>
      </c>
      <c r="C40" s="116">
        <v>0.73299999999999998</v>
      </c>
      <c r="D40" s="114">
        <v>0.66669999999999996</v>
      </c>
      <c r="E40" s="114"/>
      <c r="F40" s="114"/>
      <c r="G40" s="114"/>
      <c r="H40" s="114"/>
      <c r="I40" s="114"/>
      <c r="J40" s="114"/>
      <c r="K40" s="81">
        <v>13</v>
      </c>
      <c r="L40" s="83">
        <v>18.5</v>
      </c>
      <c r="M40" s="81">
        <v>17</v>
      </c>
      <c r="N40" s="82">
        <v>18.5</v>
      </c>
    </row>
    <row r="41" spans="1:14" hidden="1">
      <c r="A41" s="54">
        <v>0</v>
      </c>
      <c r="B41" s="54" t="s">
        <v>412</v>
      </c>
      <c r="K41" s="57"/>
      <c r="L41" s="57"/>
      <c r="M41" s="57"/>
      <c r="N41" s="57"/>
    </row>
    <row r="42" spans="1:14" hidden="1">
      <c r="A42" s="20">
        <v>14.1</v>
      </c>
      <c r="B42" s="23" t="s">
        <v>298</v>
      </c>
      <c r="C42" s="116">
        <v>0.9</v>
      </c>
      <c r="D42" s="114">
        <v>0.73329999999999995</v>
      </c>
      <c r="E42" s="114"/>
      <c r="F42" s="114"/>
      <c r="G42" s="114"/>
      <c r="H42" s="114"/>
      <c r="I42" s="114"/>
      <c r="J42" s="114"/>
      <c r="K42" s="81">
        <v>17</v>
      </c>
      <c r="L42" s="83">
        <v>20</v>
      </c>
      <c r="M42" s="81">
        <v>20</v>
      </c>
      <c r="N42" s="82">
        <v>20</v>
      </c>
    </row>
    <row r="43" spans="1:14" ht="58" hidden="1">
      <c r="A43" s="20">
        <v>14.1</v>
      </c>
      <c r="B43" s="23" t="s">
        <v>300</v>
      </c>
      <c r="C43" s="118" t="s">
        <v>467</v>
      </c>
      <c r="D43" s="114">
        <v>0.76670000000000005</v>
      </c>
      <c r="E43" s="114"/>
      <c r="F43" s="114"/>
      <c r="G43" s="114"/>
      <c r="H43" s="114"/>
      <c r="I43" s="114"/>
      <c r="J43" s="114"/>
      <c r="K43" s="81">
        <v>17</v>
      </c>
      <c r="L43" s="92" t="s">
        <v>616</v>
      </c>
      <c r="M43" s="81">
        <v>17</v>
      </c>
      <c r="N43" s="121" t="s">
        <v>615</v>
      </c>
    </row>
    <row r="44" spans="1:14" hidden="1">
      <c r="A44" s="23">
        <v>14.1</v>
      </c>
      <c r="B44" s="23" t="s">
        <v>302</v>
      </c>
      <c r="C44" s="116">
        <v>0.4</v>
      </c>
      <c r="D44" s="114">
        <v>0.43330000000000002</v>
      </c>
      <c r="E44" s="114"/>
      <c r="F44" s="114"/>
      <c r="G44" s="114"/>
      <c r="H44" s="114"/>
      <c r="I44" s="114"/>
      <c r="J44" s="114"/>
      <c r="K44" s="81">
        <v>5</v>
      </c>
      <c r="L44" s="92">
        <v>19</v>
      </c>
      <c r="M44" s="81">
        <v>13</v>
      </c>
      <c r="N44" s="121">
        <v>19</v>
      </c>
    </row>
    <row r="45" spans="1:14" ht="58" hidden="1">
      <c r="A45" s="23">
        <v>14.1</v>
      </c>
      <c r="B45" s="23" t="s">
        <v>304</v>
      </c>
      <c r="C45" s="116">
        <v>0.76700000000000002</v>
      </c>
      <c r="D45" s="114">
        <v>0.56669999999999998</v>
      </c>
      <c r="E45" s="114"/>
      <c r="F45" s="114"/>
      <c r="G45" s="114"/>
      <c r="H45" s="114"/>
      <c r="I45" s="114"/>
      <c r="J45" s="114"/>
      <c r="K45" s="92" t="s">
        <v>597</v>
      </c>
      <c r="L45" s="92" t="s">
        <v>616</v>
      </c>
      <c r="M45" s="92" t="s">
        <v>598</v>
      </c>
      <c r="N45" s="121" t="s">
        <v>615</v>
      </c>
    </row>
    <row r="46" spans="1:14" hidden="1">
      <c r="A46" s="20">
        <v>14.1</v>
      </c>
      <c r="B46" s="23" t="s">
        <v>306</v>
      </c>
      <c r="C46" s="116">
        <v>0.93300000000000005</v>
      </c>
      <c r="D46" s="114">
        <v>0.9667</v>
      </c>
      <c r="E46" s="114"/>
      <c r="F46" s="114"/>
      <c r="G46" s="114"/>
      <c r="H46" s="114"/>
      <c r="I46" s="114"/>
      <c r="J46" s="114"/>
      <c r="K46" s="81">
        <v>20</v>
      </c>
      <c r="L46" s="83">
        <v>19.5</v>
      </c>
      <c r="M46" s="81">
        <v>20</v>
      </c>
      <c r="N46" s="82">
        <v>19.5</v>
      </c>
    </row>
    <row r="47" spans="1:14" hidden="1">
      <c r="A47" s="20">
        <v>14.1</v>
      </c>
      <c r="B47" s="23" t="s">
        <v>217</v>
      </c>
      <c r="C47" s="116">
        <v>1</v>
      </c>
      <c r="D47" s="114">
        <v>1</v>
      </c>
      <c r="E47" s="114"/>
      <c r="F47" s="114"/>
      <c r="G47" s="114"/>
      <c r="H47" s="114"/>
      <c r="I47" s="114"/>
      <c r="J47" s="114"/>
      <c r="K47" s="81">
        <v>19</v>
      </c>
      <c r="L47" s="83">
        <v>20</v>
      </c>
      <c r="M47" s="81">
        <v>20</v>
      </c>
      <c r="N47" s="82">
        <v>20</v>
      </c>
    </row>
    <row r="48" spans="1:14" hidden="1">
      <c r="A48" s="20">
        <v>14.1</v>
      </c>
      <c r="B48" s="23" t="s">
        <v>309</v>
      </c>
      <c r="C48" s="116">
        <v>0.23300000000000001</v>
      </c>
      <c r="D48" s="114">
        <v>0.63329999999999997</v>
      </c>
      <c r="E48" s="114"/>
      <c r="F48" s="114"/>
      <c r="G48" s="114"/>
      <c r="H48" s="114"/>
      <c r="I48" s="114"/>
      <c r="J48" s="114"/>
      <c r="K48" s="81">
        <v>10</v>
      </c>
      <c r="L48" s="83">
        <v>18</v>
      </c>
      <c r="M48" s="81">
        <v>12</v>
      </c>
      <c r="N48" s="82">
        <v>18</v>
      </c>
    </row>
    <row r="49" spans="1:14" hidden="1">
      <c r="A49" s="20">
        <v>14.1</v>
      </c>
      <c r="B49" s="23" t="s">
        <v>311</v>
      </c>
      <c r="C49" s="116">
        <v>0.9</v>
      </c>
      <c r="D49" s="114">
        <v>0.83330000000000004</v>
      </c>
      <c r="E49" s="114"/>
      <c r="F49" s="114"/>
      <c r="G49" s="114"/>
      <c r="H49" s="114"/>
      <c r="I49" s="114"/>
      <c r="J49" s="114"/>
      <c r="K49" s="81">
        <v>17</v>
      </c>
      <c r="L49" s="83">
        <v>18.5</v>
      </c>
      <c r="M49" s="81">
        <v>18</v>
      </c>
      <c r="N49" s="82">
        <v>18.5</v>
      </c>
    </row>
    <row r="50" spans="1:14" hidden="1">
      <c r="A50" s="20">
        <v>14.1</v>
      </c>
      <c r="B50" s="23" t="s">
        <v>313</v>
      </c>
      <c r="C50" s="116">
        <v>0.23300000000000001</v>
      </c>
      <c r="D50" s="114">
        <v>0.23330000000000001</v>
      </c>
      <c r="E50" s="114"/>
      <c r="F50" s="114"/>
      <c r="G50" s="114"/>
      <c r="H50" s="114"/>
      <c r="I50" s="114"/>
      <c r="J50" s="114"/>
      <c r="K50" s="81">
        <v>10</v>
      </c>
      <c r="L50" s="83">
        <v>19</v>
      </c>
      <c r="M50" s="81">
        <v>13</v>
      </c>
      <c r="N50" s="82">
        <v>19</v>
      </c>
    </row>
    <row r="51" spans="1:14" hidden="1">
      <c r="A51" s="54">
        <v>0</v>
      </c>
      <c r="B51" s="54" t="s">
        <v>412</v>
      </c>
      <c r="K51" s="57"/>
      <c r="L51" s="57"/>
      <c r="M51" s="57"/>
      <c r="N51" s="57"/>
    </row>
    <row r="52" spans="1:14" ht="58" hidden="1">
      <c r="A52" s="20">
        <v>14.1</v>
      </c>
      <c r="B52" s="23" t="s">
        <v>315</v>
      </c>
      <c r="C52" s="116">
        <v>0.56699999999999995</v>
      </c>
      <c r="D52" s="114">
        <v>1</v>
      </c>
      <c r="E52" s="114"/>
      <c r="F52" s="114"/>
      <c r="G52" s="114"/>
      <c r="H52" s="114"/>
      <c r="I52" s="114"/>
      <c r="J52" s="114"/>
      <c r="K52" s="92" t="s">
        <v>597</v>
      </c>
      <c r="L52" s="92" t="s">
        <v>616</v>
      </c>
      <c r="M52" s="92" t="s">
        <v>598</v>
      </c>
      <c r="N52" s="121" t="s">
        <v>615</v>
      </c>
    </row>
    <row r="53" spans="1:14" hidden="1">
      <c r="A53" s="20">
        <v>14.1</v>
      </c>
      <c r="B53" s="22" t="s">
        <v>86</v>
      </c>
      <c r="C53" s="116">
        <v>0.76700000000000002</v>
      </c>
      <c r="D53" s="114">
        <v>0.4667</v>
      </c>
      <c r="E53" s="114"/>
      <c r="F53" s="114"/>
      <c r="G53" s="114"/>
      <c r="H53" s="114"/>
      <c r="I53" s="114"/>
      <c r="J53" s="114"/>
      <c r="K53" s="81">
        <v>20</v>
      </c>
      <c r="L53" s="83">
        <v>19.5</v>
      </c>
      <c r="M53" s="81">
        <v>16</v>
      </c>
      <c r="N53" s="82">
        <v>19.5</v>
      </c>
    </row>
    <row r="54" spans="1:14" hidden="1">
      <c r="A54" s="54">
        <v>15.3</v>
      </c>
      <c r="B54" s="54">
        <v>15.3</v>
      </c>
      <c r="K54" s="57"/>
      <c r="L54" s="57"/>
      <c r="M54" s="57"/>
      <c r="N54" s="57"/>
    </row>
    <row r="55" spans="1:14" hidden="1">
      <c r="A55" s="20">
        <v>15.3</v>
      </c>
      <c r="B55" s="23" t="s">
        <v>319</v>
      </c>
      <c r="C55" s="116">
        <v>0.76700000000000002</v>
      </c>
      <c r="D55" s="114">
        <v>0.33329999999999999</v>
      </c>
      <c r="E55" s="114"/>
      <c r="F55" s="114"/>
      <c r="G55" s="114"/>
      <c r="H55" s="114"/>
      <c r="I55" s="114"/>
      <c r="J55" s="114"/>
      <c r="K55" s="81">
        <v>7</v>
      </c>
      <c r="L55" s="83">
        <v>19.5</v>
      </c>
      <c r="M55" s="81">
        <v>13</v>
      </c>
      <c r="N55" s="82">
        <v>19.5</v>
      </c>
    </row>
    <row r="56" spans="1:14" ht="58" hidden="1">
      <c r="A56" s="20">
        <v>15.3</v>
      </c>
      <c r="B56" s="23" t="s">
        <v>321</v>
      </c>
      <c r="C56" s="116">
        <v>0.86699999999999999</v>
      </c>
      <c r="D56" s="114">
        <v>0.93330000000000002</v>
      </c>
      <c r="E56" s="114"/>
      <c r="F56" s="114"/>
      <c r="G56" s="114"/>
      <c r="H56" s="114"/>
      <c r="I56" s="114"/>
      <c r="J56" s="114"/>
      <c r="K56" s="92" t="s">
        <v>597</v>
      </c>
      <c r="L56" s="92" t="s">
        <v>616</v>
      </c>
      <c r="M56" s="92" t="s">
        <v>598</v>
      </c>
      <c r="N56" s="121" t="s">
        <v>615</v>
      </c>
    </row>
    <row r="57" spans="1:14" ht="58" hidden="1">
      <c r="A57" s="20">
        <v>15.3</v>
      </c>
      <c r="B57" s="23" t="s">
        <v>323</v>
      </c>
      <c r="C57" s="116">
        <v>0.26700000000000002</v>
      </c>
      <c r="D57" s="114">
        <v>0.1333</v>
      </c>
      <c r="E57" s="114"/>
      <c r="F57" s="114"/>
      <c r="G57" s="114"/>
      <c r="H57" s="114"/>
      <c r="I57" s="114"/>
      <c r="J57" s="114"/>
      <c r="K57" s="81">
        <v>6</v>
      </c>
      <c r="L57" s="121" t="s">
        <v>616</v>
      </c>
      <c r="M57" s="81">
        <v>8</v>
      </c>
      <c r="N57" s="92" t="s">
        <v>615</v>
      </c>
    </row>
    <row r="58" spans="1:14" hidden="1">
      <c r="A58" s="20">
        <v>15.3</v>
      </c>
      <c r="B58" s="23" t="s">
        <v>59</v>
      </c>
      <c r="C58" s="116">
        <v>0.66700000000000004</v>
      </c>
      <c r="D58" s="114">
        <v>0.6</v>
      </c>
      <c r="E58" s="114"/>
      <c r="F58" s="114"/>
      <c r="G58" s="114"/>
      <c r="H58" s="114"/>
      <c r="I58" s="114"/>
      <c r="J58" s="114"/>
      <c r="K58" s="81">
        <v>11</v>
      </c>
      <c r="L58" s="83">
        <v>18</v>
      </c>
      <c r="M58" s="81">
        <v>17</v>
      </c>
      <c r="N58" s="82">
        <v>18</v>
      </c>
    </row>
    <row r="59" spans="1:14" hidden="1">
      <c r="A59" s="54">
        <v>0</v>
      </c>
      <c r="B59" s="54" t="s">
        <v>412</v>
      </c>
      <c r="L59" s="57"/>
      <c r="N59" s="57"/>
    </row>
    <row r="60" spans="1:14" hidden="1">
      <c r="A60" s="20">
        <v>15.3</v>
      </c>
      <c r="B60" s="23" t="s">
        <v>326</v>
      </c>
      <c r="C60" s="116">
        <v>0.9</v>
      </c>
      <c r="D60" s="114">
        <v>1</v>
      </c>
      <c r="E60" s="114"/>
      <c r="F60" s="114"/>
      <c r="G60" s="114"/>
      <c r="H60" s="114"/>
      <c r="I60" s="114"/>
      <c r="J60" s="114"/>
      <c r="K60" s="81">
        <v>20</v>
      </c>
      <c r="L60" s="83">
        <v>20</v>
      </c>
      <c r="M60" s="81">
        <v>19</v>
      </c>
      <c r="N60" s="82">
        <v>20</v>
      </c>
    </row>
    <row r="61" spans="1:14" ht="29" hidden="1">
      <c r="A61" s="20">
        <v>15.3</v>
      </c>
      <c r="B61" s="23" t="s">
        <v>328</v>
      </c>
      <c r="C61" s="116">
        <v>0.76700000000000002</v>
      </c>
      <c r="D61" s="119" t="s">
        <v>478</v>
      </c>
      <c r="E61" s="114"/>
      <c r="F61" s="114"/>
      <c r="G61" s="114"/>
      <c r="H61" s="114"/>
      <c r="I61" s="114"/>
      <c r="J61" s="114"/>
      <c r="K61" s="81">
        <v>12</v>
      </c>
      <c r="L61" s="83">
        <v>18</v>
      </c>
      <c r="M61" s="81">
        <v>17</v>
      </c>
      <c r="N61" s="82">
        <v>18</v>
      </c>
    </row>
    <row r="62" spans="1:14" hidden="1">
      <c r="A62" s="20">
        <v>15.3</v>
      </c>
      <c r="B62" s="23" t="s">
        <v>330</v>
      </c>
      <c r="C62" s="116">
        <v>0.86699999999999999</v>
      </c>
      <c r="D62" s="114">
        <v>0.83330000000000004</v>
      </c>
      <c r="E62" s="114"/>
      <c r="F62" s="114"/>
      <c r="G62" s="114"/>
      <c r="H62" s="114"/>
      <c r="I62" s="114"/>
      <c r="J62" s="114"/>
      <c r="K62" s="81">
        <v>18</v>
      </c>
      <c r="L62" s="83">
        <v>19.5</v>
      </c>
      <c r="M62" s="81">
        <v>19</v>
      </c>
      <c r="N62" s="82">
        <v>19.5</v>
      </c>
    </row>
    <row r="63" spans="1:14" hidden="1">
      <c r="A63" s="20">
        <v>15.3</v>
      </c>
      <c r="B63" s="23" t="s">
        <v>332</v>
      </c>
      <c r="C63" s="116">
        <v>0.73299999999999998</v>
      </c>
      <c r="D63" s="114">
        <v>0.9</v>
      </c>
      <c r="E63" s="114"/>
      <c r="F63" s="114"/>
      <c r="G63" s="114"/>
      <c r="H63" s="114"/>
      <c r="I63" s="114"/>
      <c r="J63" s="114"/>
      <c r="K63" s="81">
        <v>17</v>
      </c>
      <c r="L63" s="83">
        <v>19.5</v>
      </c>
      <c r="M63" s="81">
        <v>17</v>
      </c>
      <c r="N63" s="82">
        <v>19.5</v>
      </c>
    </row>
    <row r="64" spans="1:14" hidden="1">
      <c r="A64" s="20">
        <v>15.3</v>
      </c>
      <c r="B64" s="23" t="s">
        <v>349</v>
      </c>
      <c r="C64" s="116">
        <v>0.93300000000000005</v>
      </c>
      <c r="D64" s="114">
        <v>1</v>
      </c>
      <c r="E64" s="114"/>
      <c r="F64" s="114"/>
      <c r="G64" s="114"/>
      <c r="H64" s="114"/>
      <c r="I64" s="114"/>
      <c r="J64" s="114"/>
      <c r="K64" s="81">
        <v>20</v>
      </c>
      <c r="L64" s="83">
        <v>19.5</v>
      </c>
      <c r="M64" s="81">
        <v>17</v>
      </c>
      <c r="N64" s="82">
        <v>19.5</v>
      </c>
    </row>
    <row r="65" spans="1:14" hidden="1">
      <c r="A65" s="20">
        <v>15.3</v>
      </c>
      <c r="B65" s="23" t="s">
        <v>351</v>
      </c>
      <c r="C65" s="116">
        <v>0.86699999999999999</v>
      </c>
      <c r="D65" s="114">
        <v>0.93330000000000002</v>
      </c>
      <c r="E65" s="114"/>
      <c r="F65" s="114"/>
      <c r="G65" s="114"/>
      <c r="H65" s="114"/>
      <c r="I65" s="114"/>
      <c r="J65" s="114"/>
      <c r="K65" s="81">
        <v>16</v>
      </c>
      <c r="L65" s="83">
        <v>19.5</v>
      </c>
      <c r="M65" s="81">
        <v>20</v>
      </c>
      <c r="N65" s="82">
        <v>19.5</v>
      </c>
    </row>
    <row r="66" spans="1:14" hidden="1">
      <c r="A66" s="20">
        <v>15.3</v>
      </c>
      <c r="B66" s="23" t="s">
        <v>353</v>
      </c>
      <c r="C66" s="116">
        <v>0.26700000000000002</v>
      </c>
      <c r="D66" s="114">
        <v>0.16669999999999999</v>
      </c>
      <c r="E66" s="114"/>
      <c r="F66" s="114"/>
      <c r="G66" s="114"/>
      <c r="H66" s="114"/>
      <c r="I66" s="114"/>
      <c r="J66" s="114"/>
      <c r="K66" s="81">
        <v>7</v>
      </c>
      <c r="L66" s="83">
        <v>10</v>
      </c>
      <c r="M66" s="81">
        <v>8</v>
      </c>
      <c r="N66" s="82">
        <v>10</v>
      </c>
    </row>
    <row r="67" spans="1:14" ht="29" hidden="1">
      <c r="A67" s="20">
        <v>15.3</v>
      </c>
      <c r="B67" s="23" t="s">
        <v>355</v>
      </c>
      <c r="C67" s="116">
        <v>0.5</v>
      </c>
      <c r="D67" s="119" t="s">
        <v>478</v>
      </c>
      <c r="E67" s="114"/>
      <c r="F67" s="114"/>
      <c r="G67" s="114"/>
      <c r="H67" s="114"/>
      <c r="I67" s="114"/>
      <c r="J67" s="114"/>
      <c r="K67" s="81">
        <v>10</v>
      </c>
      <c r="L67" s="83">
        <v>18.5</v>
      </c>
      <c r="M67" s="81">
        <v>19</v>
      </c>
      <c r="N67" s="82">
        <v>18.5</v>
      </c>
    </row>
    <row r="68" spans="1:14" hidden="1">
      <c r="A68" s="20">
        <v>15.3</v>
      </c>
      <c r="B68" s="23" t="s">
        <v>357</v>
      </c>
      <c r="C68" s="116">
        <v>0.6</v>
      </c>
      <c r="D68" s="114">
        <v>0.6</v>
      </c>
      <c r="E68" s="114"/>
      <c r="F68" s="114"/>
      <c r="G68" s="114"/>
      <c r="H68" s="114"/>
      <c r="I68" s="114"/>
      <c r="J68" s="114"/>
      <c r="K68" s="81">
        <v>16</v>
      </c>
      <c r="L68" s="83">
        <v>18.5</v>
      </c>
      <c r="M68" s="81">
        <v>16</v>
      </c>
      <c r="N68" s="82">
        <v>18.5</v>
      </c>
    </row>
    <row r="69" spans="1:14" hidden="1">
      <c r="A69" s="54">
        <v>0</v>
      </c>
      <c r="B69" s="54" t="s">
        <v>412</v>
      </c>
      <c r="L69" s="57"/>
      <c r="N69" s="57"/>
    </row>
    <row r="70" spans="1:14" hidden="1">
      <c r="A70" s="20">
        <v>15.3</v>
      </c>
      <c r="B70" s="20" t="s">
        <v>395</v>
      </c>
      <c r="C70" s="116">
        <v>0.13300000000000001</v>
      </c>
      <c r="D70" s="114">
        <v>0.16669999999999999</v>
      </c>
      <c r="E70" s="114"/>
      <c r="F70" s="114"/>
      <c r="G70" s="114"/>
      <c r="H70" s="114"/>
      <c r="I70" s="114"/>
      <c r="J70" s="114"/>
      <c r="K70" s="81">
        <v>7</v>
      </c>
      <c r="L70" s="83">
        <v>19.5</v>
      </c>
      <c r="M70" s="81">
        <v>9</v>
      </c>
      <c r="N70" s="82">
        <v>19.5</v>
      </c>
    </row>
    <row r="71" spans="1:14" ht="58" hidden="1">
      <c r="A71" s="20">
        <v>16.2</v>
      </c>
      <c r="B71" s="20" t="s">
        <v>474</v>
      </c>
      <c r="C71" s="116">
        <v>0.9</v>
      </c>
      <c r="D71" s="114">
        <v>0.9</v>
      </c>
      <c r="E71" s="114"/>
      <c r="F71" s="114"/>
      <c r="G71" s="114"/>
      <c r="H71" s="114"/>
      <c r="I71" s="114"/>
      <c r="J71" s="114"/>
      <c r="K71" s="81">
        <v>19</v>
      </c>
      <c r="L71" s="121" t="s">
        <v>616</v>
      </c>
      <c r="M71" s="81">
        <v>18</v>
      </c>
      <c r="N71" s="92" t="s">
        <v>615</v>
      </c>
    </row>
    <row r="72" spans="1:14" ht="43.5" hidden="1">
      <c r="A72" s="65">
        <v>16.2</v>
      </c>
      <c r="B72" s="65" t="s">
        <v>474</v>
      </c>
      <c r="C72" s="116">
        <v>0.9</v>
      </c>
      <c r="D72" s="119" t="s">
        <v>478</v>
      </c>
      <c r="E72" s="114"/>
      <c r="F72" s="114"/>
      <c r="G72" s="114"/>
      <c r="H72" s="114"/>
      <c r="I72" s="114"/>
      <c r="J72" s="114"/>
      <c r="K72" s="81">
        <v>19</v>
      </c>
      <c r="L72" s="101" t="s">
        <v>614</v>
      </c>
      <c r="M72" s="81">
        <v>18</v>
      </c>
      <c r="N72" s="101" t="s">
        <v>613</v>
      </c>
    </row>
    <row r="73" spans="1:14" hidden="1">
      <c r="A73" s="54"/>
      <c r="B73" s="54"/>
      <c r="C73" s="116"/>
      <c r="D73" s="114"/>
      <c r="E73" s="114"/>
      <c r="F73" s="114"/>
      <c r="G73" s="114"/>
      <c r="H73" s="114"/>
      <c r="I73" s="114"/>
      <c r="J73" s="114"/>
      <c r="L73" s="57"/>
      <c r="N73" s="57"/>
    </row>
    <row r="74" spans="1:14" hidden="1">
      <c r="A74" s="54">
        <v>16.2</v>
      </c>
      <c r="B74" s="54">
        <v>16.2</v>
      </c>
      <c r="L74" s="57"/>
      <c r="N74" s="57"/>
    </row>
    <row r="75" spans="1:14" hidden="1">
      <c r="A75" s="73"/>
      <c r="B75" s="73"/>
      <c r="L75" s="57"/>
      <c r="N75" s="57"/>
    </row>
    <row r="76" spans="1:14">
      <c r="A76" s="20">
        <v>16.2</v>
      </c>
      <c r="B76" s="23" t="s">
        <v>334</v>
      </c>
      <c r="C76" s="116">
        <v>1</v>
      </c>
      <c r="D76" s="139">
        <v>0.9667</v>
      </c>
      <c r="E76" s="114"/>
      <c r="F76" s="114"/>
      <c r="G76" s="114"/>
      <c r="H76" s="114"/>
      <c r="I76" s="114"/>
      <c r="J76" s="114"/>
      <c r="K76" s="81">
        <v>20</v>
      </c>
      <c r="L76" s="83">
        <v>20</v>
      </c>
      <c r="M76" s="81">
        <v>20</v>
      </c>
      <c r="N76" s="82">
        <v>20</v>
      </c>
    </row>
    <row r="77" spans="1:14">
      <c r="A77" s="20">
        <v>16.2</v>
      </c>
      <c r="B77" s="23" t="s">
        <v>336</v>
      </c>
      <c r="C77" s="116">
        <v>0.93300000000000005</v>
      </c>
      <c r="D77" s="139">
        <v>0.93330000000000002</v>
      </c>
      <c r="E77" s="114"/>
      <c r="F77" s="114"/>
      <c r="G77" s="114"/>
      <c r="H77" s="114"/>
      <c r="I77" s="114"/>
      <c r="J77" s="114"/>
      <c r="K77" s="81">
        <v>13</v>
      </c>
      <c r="L77" s="83">
        <v>19.5</v>
      </c>
      <c r="M77" s="81">
        <v>18</v>
      </c>
      <c r="N77" s="82">
        <v>19.5</v>
      </c>
    </row>
    <row r="78" spans="1:14">
      <c r="A78" s="20">
        <v>16.2</v>
      </c>
      <c r="B78" s="23" t="s">
        <v>338</v>
      </c>
      <c r="C78" s="116">
        <v>0.96699999999999997</v>
      </c>
      <c r="D78" s="139">
        <v>1</v>
      </c>
      <c r="E78" s="114"/>
      <c r="F78" s="114"/>
      <c r="G78" s="114"/>
      <c r="H78" s="114"/>
      <c r="I78" s="114"/>
      <c r="J78" s="114"/>
      <c r="K78" s="81">
        <v>20</v>
      </c>
      <c r="L78" s="83">
        <v>20</v>
      </c>
      <c r="M78" s="81">
        <v>19</v>
      </c>
      <c r="N78" s="82">
        <v>20</v>
      </c>
    </row>
    <row r="79" spans="1:14">
      <c r="A79" s="54">
        <v>0</v>
      </c>
      <c r="B79" s="54" t="s">
        <v>412</v>
      </c>
      <c r="D79" s="139">
        <v>0</v>
      </c>
      <c r="L79" s="57">
        <v>18.5</v>
      </c>
      <c r="N79" s="57">
        <v>18.5</v>
      </c>
    </row>
    <row r="80" spans="1:14">
      <c r="A80" s="20">
        <v>16.2</v>
      </c>
      <c r="B80" s="23" t="s">
        <v>340</v>
      </c>
      <c r="C80" s="116">
        <v>0.93300000000000005</v>
      </c>
      <c r="D80" s="139">
        <v>0.83330000000000004</v>
      </c>
      <c r="E80" s="114"/>
      <c r="F80" s="114"/>
      <c r="G80" s="114"/>
      <c r="H80" s="114"/>
      <c r="I80" s="114"/>
      <c r="J80" s="114"/>
      <c r="K80" s="81">
        <v>13</v>
      </c>
      <c r="L80" s="83">
        <v>10.5</v>
      </c>
      <c r="M80" s="81">
        <v>18</v>
      </c>
      <c r="N80" s="82">
        <v>10.5</v>
      </c>
    </row>
    <row r="81" spans="1:14">
      <c r="A81" s="20">
        <v>16.2</v>
      </c>
      <c r="B81" s="23" t="s">
        <v>342</v>
      </c>
      <c r="C81" s="116">
        <v>0.7</v>
      </c>
      <c r="D81" s="139">
        <v>0.83330000000000004</v>
      </c>
      <c r="E81" s="114"/>
      <c r="F81" s="114"/>
      <c r="G81" s="114"/>
      <c r="H81" s="114"/>
      <c r="I81" s="114"/>
      <c r="J81" s="114"/>
      <c r="K81" s="81">
        <v>11</v>
      </c>
      <c r="L81" s="83">
        <v>20</v>
      </c>
      <c r="M81" s="81">
        <v>9</v>
      </c>
      <c r="N81" s="82">
        <v>20</v>
      </c>
    </row>
    <row r="82" spans="1:14">
      <c r="A82" s="20">
        <v>16.2</v>
      </c>
      <c r="B82" s="23" t="s">
        <v>434</v>
      </c>
      <c r="C82" s="116">
        <v>0.66700000000000004</v>
      </c>
      <c r="D82" s="139">
        <v>0.8</v>
      </c>
      <c r="E82" s="114"/>
      <c r="F82" s="114"/>
      <c r="G82" s="114"/>
      <c r="H82" s="114"/>
      <c r="I82" s="114"/>
      <c r="J82" s="114"/>
      <c r="K82" s="81">
        <v>16</v>
      </c>
      <c r="L82" s="83">
        <v>10</v>
      </c>
      <c r="M82" s="81">
        <v>13</v>
      </c>
      <c r="N82" s="82">
        <v>10</v>
      </c>
    </row>
    <row r="83" spans="1:14">
      <c r="A83" s="20">
        <v>16.2</v>
      </c>
      <c r="B83" s="23" t="s">
        <v>344</v>
      </c>
      <c r="C83" s="116">
        <v>0.36699999999999999</v>
      </c>
      <c r="D83" s="139">
        <v>0.4667</v>
      </c>
      <c r="E83" s="114"/>
      <c r="F83" s="114"/>
      <c r="G83" s="114"/>
      <c r="H83" s="114"/>
      <c r="I83" s="114"/>
      <c r="J83" s="114"/>
      <c r="K83" s="81">
        <v>9</v>
      </c>
      <c r="L83" s="83">
        <v>14</v>
      </c>
      <c r="M83" s="81">
        <v>17</v>
      </c>
      <c r="N83" s="82">
        <v>14</v>
      </c>
    </row>
    <row r="84" spans="1:14" ht="29">
      <c r="A84" s="20">
        <v>16.2</v>
      </c>
      <c r="B84" s="23" t="s">
        <v>346</v>
      </c>
      <c r="C84" s="116">
        <v>0.93300000000000005</v>
      </c>
      <c r="D84" s="119" t="s">
        <v>478</v>
      </c>
      <c r="E84" s="114"/>
      <c r="F84" s="114"/>
      <c r="G84" s="114"/>
      <c r="H84" s="114"/>
      <c r="I84" s="114"/>
      <c r="J84" s="114"/>
      <c r="K84" s="81">
        <v>16</v>
      </c>
      <c r="L84" s="83">
        <v>19.5</v>
      </c>
      <c r="M84" s="81">
        <v>17</v>
      </c>
      <c r="N84" s="82">
        <v>19.5</v>
      </c>
    </row>
    <row r="85" spans="1:14">
      <c r="A85" s="20">
        <v>16.2</v>
      </c>
      <c r="B85" s="20" t="s">
        <v>231</v>
      </c>
      <c r="C85" s="116">
        <v>0.5</v>
      </c>
      <c r="D85" s="139">
        <v>0.86670000000000003</v>
      </c>
      <c r="E85" s="114"/>
      <c r="F85" s="114"/>
      <c r="G85" s="114"/>
      <c r="H85" s="114"/>
      <c r="I85" s="114"/>
      <c r="J85" s="114"/>
      <c r="K85" s="81">
        <v>13</v>
      </c>
      <c r="L85" s="83">
        <v>18.5</v>
      </c>
      <c r="M85" s="81">
        <v>9</v>
      </c>
      <c r="N85" s="82">
        <v>18.5</v>
      </c>
    </row>
    <row r="86" spans="1:14">
      <c r="A86" s="20">
        <v>16.2</v>
      </c>
      <c r="B86" s="20" t="s">
        <v>221</v>
      </c>
      <c r="C86" s="116">
        <v>0.96699999999999997</v>
      </c>
      <c r="D86" s="139">
        <v>0.9667</v>
      </c>
      <c r="E86" s="114"/>
      <c r="F86" s="114"/>
      <c r="G86" s="114"/>
      <c r="H86" s="114"/>
      <c r="I86" s="114"/>
      <c r="J86" s="114"/>
      <c r="K86" s="81">
        <v>18</v>
      </c>
      <c r="L86" s="83">
        <v>20</v>
      </c>
      <c r="M86" s="81">
        <v>17</v>
      </c>
      <c r="N86" s="82">
        <v>20</v>
      </c>
    </row>
    <row r="87" spans="1:14" ht="43.5">
      <c r="A87" s="20">
        <v>16.2</v>
      </c>
      <c r="B87" s="20" t="s">
        <v>230</v>
      </c>
      <c r="C87" s="119" t="s">
        <v>478</v>
      </c>
      <c r="D87" s="139">
        <v>0.1333</v>
      </c>
      <c r="K87" s="81">
        <v>4</v>
      </c>
      <c r="L87" s="83">
        <v>18.5</v>
      </c>
      <c r="M87" s="81">
        <v>9</v>
      </c>
      <c r="N87" s="82">
        <v>18.5</v>
      </c>
    </row>
    <row r="88" spans="1:14">
      <c r="A88" s="20">
        <v>16.2</v>
      </c>
      <c r="B88" s="20" t="s">
        <v>225</v>
      </c>
      <c r="C88" s="116">
        <v>0.53300000000000003</v>
      </c>
      <c r="D88" s="139">
        <v>0.9667</v>
      </c>
      <c r="E88" s="114"/>
      <c r="F88" s="114"/>
      <c r="G88" s="114"/>
      <c r="H88" s="114"/>
      <c r="I88" s="114"/>
      <c r="J88" s="114"/>
      <c r="K88" s="81">
        <v>19</v>
      </c>
      <c r="L88" s="83">
        <v>19</v>
      </c>
      <c r="M88" s="81">
        <v>20</v>
      </c>
      <c r="N88" s="82">
        <v>19</v>
      </c>
    </row>
    <row r="89" spans="1:14" ht="43.5">
      <c r="A89" s="54">
        <v>0</v>
      </c>
      <c r="B89" s="54" t="s">
        <v>412</v>
      </c>
      <c r="C89" s="119" t="s">
        <v>478</v>
      </c>
      <c r="D89" s="139">
        <v>0</v>
      </c>
      <c r="L89" s="57"/>
      <c r="N89" s="57"/>
    </row>
    <row r="90" spans="1:14" ht="58">
      <c r="A90" s="20">
        <v>16.2</v>
      </c>
      <c r="B90" s="20" t="s">
        <v>374</v>
      </c>
      <c r="C90" s="116">
        <v>0.96699999999999997</v>
      </c>
      <c r="D90" s="139">
        <v>0.9667</v>
      </c>
      <c r="E90" s="114"/>
      <c r="F90" s="114"/>
      <c r="G90" s="114"/>
      <c r="H90" s="114"/>
      <c r="I90" s="114"/>
      <c r="J90" s="114"/>
      <c r="K90" s="92" t="s">
        <v>597</v>
      </c>
      <c r="L90" s="83">
        <v>19.5</v>
      </c>
      <c r="M90" s="81">
        <v>16</v>
      </c>
      <c r="N90" s="82">
        <v>19.5</v>
      </c>
    </row>
    <row r="91" spans="1:14" ht="43.5">
      <c r="A91" s="20">
        <v>16.2</v>
      </c>
      <c r="B91" s="29" t="s">
        <v>375</v>
      </c>
      <c r="C91" s="119" t="s">
        <v>478</v>
      </c>
      <c r="D91" s="139">
        <v>0.93330000000000002</v>
      </c>
      <c r="E91" s="114"/>
      <c r="F91" s="114"/>
      <c r="G91" s="114"/>
      <c r="H91" s="114"/>
      <c r="I91" s="114"/>
      <c r="J91" s="114"/>
      <c r="K91" s="81">
        <v>19</v>
      </c>
      <c r="L91" s="83">
        <v>19</v>
      </c>
      <c r="M91" s="81">
        <v>20</v>
      </c>
      <c r="N91" s="82">
        <v>19</v>
      </c>
    </row>
    <row r="92" spans="1:14" ht="43.5">
      <c r="A92" s="20">
        <v>16.2</v>
      </c>
      <c r="B92" s="23" t="s">
        <v>436</v>
      </c>
      <c r="C92" s="119" t="s">
        <v>478</v>
      </c>
      <c r="D92" s="139">
        <v>1</v>
      </c>
      <c r="K92" s="81">
        <v>20</v>
      </c>
      <c r="L92" s="83">
        <v>20</v>
      </c>
      <c r="M92" s="81">
        <v>20</v>
      </c>
      <c r="N92" s="82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F5BB-98BE-47E1-BF89-F3F30DD7070E}">
  <dimension ref="A1:B17"/>
  <sheetViews>
    <sheetView workbookViewId="0">
      <selection activeCell="C1" sqref="C1"/>
    </sheetView>
  </sheetViews>
  <sheetFormatPr defaultRowHeight="14.5"/>
  <sheetData>
    <row r="1" spans="1:2">
      <c r="A1" s="138" t="s">
        <v>626</v>
      </c>
      <c r="B1" s="139">
        <v>0.9667</v>
      </c>
    </row>
    <row r="2" spans="1:2">
      <c r="A2" s="138" t="s">
        <v>627</v>
      </c>
      <c r="B2" s="139">
        <v>0.93330000000000002</v>
      </c>
    </row>
    <row r="3" spans="1:2">
      <c r="A3" s="138" t="s">
        <v>628</v>
      </c>
      <c r="B3" s="140">
        <v>1</v>
      </c>
    </row>
    <row r="4" spans="1:2">
      <c r="A4" s="138" t="s">
        <v>629</v>
      </c>
      <c r="B4" s="140">
        <v>0</v>
      </c>
    </row>
    <row r="5" spans="1:2">
      <c r="A5" s="138" t="s">
        <v>630</v>
      </c>
      <c r="B5" s="139">
        <v>0.83330000000000004</v>
      </c>
    </row>
    <row r="6" spans="1:2">
      <c r="A6" s="138" t="s">
        <v>630</v>
      </c>
      <c r="B6" s="139">
        <v>0.83330000000000004</v>
      </c>
    </row>
    <row r="7" spans="1:2">
      <c r="A7" s="138" t="s">
        <v>631</v>
      </c>
      <c r="B7" s="140">
        <v>0.8</v>
      </c>
    </row>
    <row r="8" spans="1:2">
      <c r="A8" s="138" t="s">
        <v>632</v>
      </c>
      <c r="B8" s="139">
        <v>0.4667</v>
      </c>
    </row>
    <row r="9" spans="1:2">
      <c r="A9" s="138" t="s">
        <v>629</v>
      </c>
      <c r="B9" s="140">
        <v>0</v>
      </c>
    </row>
    <row r="10" spans="1:2">
      <c r="A10" s="138" t="s">
        <v>633</v>
      </c>
      <c r="B10" s="139">
        <v>0.86670000000000003</v>
      </c>
    </row>
    <row r="11" spans="1:2">
      <c r="A11" s="138" t="s">
        <v>626</v>
      </c>
      <c r="B11" s="139">
        <v>0.9667</v>
      </c>
    </row>
    <row r="12" spans="1:2">
      <c r="A12" s="141">
        <v>46142</v>
      </c>
      <c r="B12" s="139">
        <v>0.1333</v>
      </c>
    </row>
    <row r="13" spans="1:2">
      <c r="A13" s="138" t="s">
        <v>626</v>
      </c>
      <c r="B13" s="139">
        <v>0.9667</v>
      </c>
    </row>
    <row r="14" spans="1:2">
      <c r="A14" s="138" t="s">
        <v>629</v>
      </c>
      <c r="B14" s="140">
        <v>0</v>
      </c>
    </row>
    <row r="15" spans="1:2">
      <c r="A15" s="138" t="s">
        <v>626</v>
      </c>
      <c r="B15" s="139">
        <v>0.9667</v>
      </c>
    </row>
    <row r="16" spans="1:2">
      <c r="A16" s="138" t="s">
        <v>627</v>
      </c>
      <c r="B16" s="139">
        <v>0.93330000000000002</v>
      </c>
    </row>
    <row r="17" spans="1:2">
      <c r="A17" s="138" t="s">
        <v>628</v>
      </c>
      <c r="B17" s="14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Lookup</vt:lpstr>
      <vt:lpstr>Grades</vt:lpstr>
      <vt:lpstr>Green</vt:lpstr>
      <vt:lpstr>Sheet2</vt:lpstr>
      <vt:lpstr>Sheet1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2026-08-13T08:06:12Z</dcterms:modified>
</cp:coreProperties>
</file>